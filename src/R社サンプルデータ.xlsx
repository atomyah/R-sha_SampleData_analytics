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tyah\Documents\仕事\ブレイン・ラボ\!MG1の給与が違うのはなぜかを調べる~!税込み請求金額（R社サンプルデータ）のつづき\"/>
    </mc:Choice>
  </mc:AlternateContent>
  <bookViews>
    <workbookView xWindow="0" yWindow="0" windowWidth="21330" windowHeight="11160" firstSheet="4" activeTab="4"/>
  </bookViews>
  <sheets>
    <sheet name="リンク" sheetId="1" r:id="rId1"/>
    <sheet name="すばるとの座組" sheetId="2" r:id="rId2"/>
    <sheet name="アウトプットすべきデータ_サマリ" sheetId="3" r:id="rId3"/>
    <sheet name="アウトプットすべきデータ_詳細" sheetId="4" r:id="rId4"/>
    <sheet name="サンプルデータ概要" sheetId="5" r:id="rId5"/>
    <sheet name="【共通】請求先データ" sheetId="6" r:id="rId6"/>
    <sheet name="①契約データ（基本情報単価情報系）" sheetId="7" r:id="rId7"/>
    <sheet name="①勤怠実績データ" sheetId="8" r:id="rId8"/>
    <sheet name="②契約データ（基本情報単価情報系）" sheetId="9" r:id="rId9"/>
    <sheet name="②勤怠実績データ" sheetId="10" r:id="rId10"/>
    <sheet name="メモ" sheetId="11" r:id="rId11"/>
    <sheet name="Claude利用留意点" sheetId="12" r:id="rId12"/>
  </sheets>
  <calcPr calcId="162913"/>
</workbook>
</file>

<file path=xl/calcChain.xml><?xml version="1.0" encoding="utf-8"?>
<calcChain xmlns="http://schemas.openxmlformats.org/spreadsheetml/2006/main">
  <c r="E17" i="12" l="1"/>
  <c r="E6" i="12"/>
  <c r="E11" i="12"/>
  <c r="D9" i="12"/>
  <c r="E12" i="12"/>
  <c r="D3" i="12"/>
  <c r="D6" i="12"/>
  <c r="D5" i="12"/>
  <c r="D17" i="12"/>
  <c r="D15" i="12"/>
  <c r="D12" i="12"/>
  <c r="E8" i="12"/>
  <c r="E5" i="12"/>
  <c r="E7" i="12"/>
  <c r="D11" i="12"/>
  <c r="E14" i="12"/>
  <c r="E2" i="12"/>
  <c r="E4" i="12"/>
  <c r="D2" i="12"/>
  <c r="D8" i="12"/>
  <c r="E16" i="12"/>
  <c r="E10" i="12"/>
  <c r="D4" i="12"/>
  <c r="D16" i="12"/>
  <c r="E13" i="12"/>
  <c r="D7" i="12"/>
  <c r="D13" i="12"/>
  <c r="E15" i="12"/>
  <c r="D14" i="12"/>
  <c r="D10" i="12"/>
  <c r="E3" i="12"/>
</calcChain>
</file>

<file path=xl/comments1.xml><?xml version="1.0" encoding="utf-8"?>
<comments xmlns="http://schemas.openxmlformats.org/spreadsheetml/2006/main">
  <authors>
    <author>Atom Yahara</author>
  </authors>
  <commentList>
    <comment ref="D2" authorId="0" shapeId="0">
      <text>
        <r>
          <rPr>
            <b/>
            <sz val="11"/>
            <color indexed="81"/>
            <rFont val="MS P ゴシック"/>
            <family val="3"/>
            <charset val="128"/>
          </rPr>
          <t>契約番号：1404</t>
        </r>
      </text>
    </comment>
    <comment ref="D4" authorId="0" shapeId="0">
      <text>
        <r>
          <rPr>
            <b/>
            <sz val="11"/>
            <color indexed="81"/>
            <rFont val="MS P ゴシック"/>
            <family val="3"/>
            <charset val="128"/>
          </rPr>
          <t>契約番号：1424</t>
        </r>
      </text>
    </comment>
    <comment ref="D5" authorId="0" shapeId="0">
      <text>
        <r>
          <rPr>
            <b/>
            <sz val="11"/>
            <color indexed="81"/>
            <rFont val="MS P ゴシック"/>
            <family val="3"/>
            <charset val="128"/>
          </rPr>
          <t>契約番号：1423</t>
        </r>
      </text>
    </comment>
    <comment ref="D6" authorId="0" shapeId="0">
      <text>
        <r>
          <rPr>
            <b/>
            <sz val="11"/>
            <color indexed="81"/>
            <rFont val="MS P ゴシック"/>
            <family val="3"/>
            <charset val="128"/>
          </rPr>
          <t>契約番号：1422</t>
        </r>
      </text>
    </comment>
  </commentList>
</comments>
</file>

<file path=xl/sharedStrings.xml><?xml version="1.0" encoding="utf-8"?>
<sst xmlns="http://schemas.openxmlformats.org/spreadsheetml/2006/main" count="1425" uniqueCount="303">
  <si>
    <t>データ抽出元の環境（3/13コピー）</t>
  </si>
  <si>
    <t>https://newmg2.matchingood-asp10.info/ridealstaffsagamihara/index.php</t>
  </si>
  <si>
    <t>座組の概要</t>
  </si>
  <si>
    <t>当社：Claudeを通じた新機能の開発、システム構築支援</t>
  </si>
  <si>
    <t>すばる：当社が開発する機能の監修、すばる顧客へMGを紹介(トスアップ)</t>
  </si>
  <si>
    <t>目的</t>
  </si>
  <si>
    <t>開発機能の質向上</t>
  </si>
  <si>
    <t>すばる顧客からのMG受注導線を確立</t>
  </si>
  <si>
    <t>課題と懸念</t>
  </si>
  <si>
    <t>動機付け: すばるがリソースを割いて監修・紹介を行ってくれるかどうかの懸念。</t>
  </si>
  <si>
    <t>条件未定: 監修料や紹介キックバックの適正な金額設定はこれから</t>
  </si>
  <si>
    <t>根拠不足: 相手の顧客基盤や見込み案件数が不明で、シミュレーションが組めていない。</t>
  </si>
  <si>
    <t>ネクストアクション</t>
  </si>
  <si>
    <t>Claudeを通じた機能開発実施</t>
  </si>
  <si>
    <t>すばるへ質の確認</t>
  </si>
  <si>
    <t>すばるの顧客基盤ヒアリング</t>
  </si>
  <si>
    <t>トスアップの見込み有無確認</t>
  </si>
  <si>
    <t>別件　Claude申請について</t>
  </si>
  <si>
    <t>事前にご確認なのですが、上記のAIツールを</t>
  </si>
  <si>
    <t>・どのプロダクトに
⇒MG1st、CP</t>
  </si>
  <si>
    <t>・どのような使用目的で
⇒機能強化、ビジネスモデル創出</t>
  </si>
  <si>
    <t>・どのような情報をAi内に入力（格納、保存）し
⇒将来的には個人・顧客情報も入力する可能性あるが、テスト段階は入れない。</t>
  </si>
  <si>
    <t>・どのような情報を出力して
⇒</t>
  </si>
  <si>
    <t>・誰を対象に利用（開示）するか</t>
  </si>
  <si>
    <t>決まっている範囲で大丈夫ですのでご教示いただければと思います。</t>
  </si>
  <si>
    <t>#</t>
  </si>
  <si>
    <t>記載者</t>
  </si>
  <si>
    <t>MUST/WANT</t>
  </si>
  <si>
    <t>大分類</t>
  </si>
  <si>
    <t>小分類（詳細）</t>
  </si>
  <si>
    <t>インプット</t>
  </si>
  <si>
    <t>アウトプット</t>
  </si>
  <si>
    <t>小澤</t>
  </si>
  <si>
    <t>MUST</t>
  </si>
  <si>
    <t>給与金額</t>
  </si>
  <si>
    <t>支給額
本給
交通費
非課税過不足金
課税過不足金
交通費
雇用保険料
健康保険料
厚生年金料
社会保険料控除後の総支給額(本給-雇用保険料-健康保険料-厚生年金保険料)
★勤怠系のデータ（労働日数や勤務時間等）</t>
  </si>
  <si>
    <t>契約情報
勤怠実績</t>
  </si>
  <si>
    <t>給与データ</t>
  </si>
  <si>
    <t>請求金額</t>
  </si>
  <si>
    <t>税込請求金額
課税対象額10％
課税対象額8％
非課税対象額
交通費
税抜合計金額
★明細となるスタッフの勤務実績データ</t>
  </si>
  <si>
    <t>請求データ
請求書</t>
  </si>
  <si>
    <t>西本</t>
  </si>
  <si>
    <t>WANT</t>
  </si>
  <si>
    <t>売上ヨミ</t>
  </si>
  <si>
    <t>・売上予測
・給与予測
・利益率
週次、月次のヨミを1～2週間前に見込み含めて出す。</t>
  </si>
  <si>
    <t>営業ヨミ</t>
  </si>
  <si>
    <t>案件をベースに、どれぐらいの売上が見込まれるのかをヨミ管理する</t>
  </si>
  <si>
    <t>給与明細</t>
  </si>
  <si>
    <t xml:space="preserve">氏名
基本給
時間外割増賃金
休日労働割増賃金
深夜割増賃金
本給
雇用保険料
健康保険料
厚生年金寮
社会保険料控除後の総支給額
源泉所得税
住民税
差引支給額
労働日数
休日労働時間
残業時間
残業時間(45h/月超)
残業時間(60h/月超)
深夜労働時間
欠勤日数(控除あり)
欠勤日数(控除無し)
有給消化日数
有給残日数
課税過不足金
非課税過不足金
交通費
締め期間
支払日
</t>
  </si>
  <si>
    <t>勤怠実績</t>
  </si>
  <si>
    <t>給与明細データ</t>
  </si>
  <si>
    <t>コメント</t>
  </si>
  <si>
    <t>支給額</t>
  </si>
  <si>
    <t>本給</t>
  </si>
  <si>
    <t>交通費</t>
  </si>
  <si>
    <t>非課税過不足金</t>
  </si>
  <si>
    <t>課税過不足金</t>
  </si>
  <si>
    <t/>
  </si>
  <si>
    <t>雇用保険料</t>
  </si>
  <si>
    <t>健康保険料</t>
  </si>
  <si>
    <t>厚生年金料</t>
  </si>
  <si>
    <t>社会保険料控除後の総支給額(本給-雇用保険料-健康保険料-厚生年金保険料)</t>
  </si>
  <si>
    <t>★勤怠系のデータ（労働日数や勤務時間等）</t>
  </si>
  <si>
    <t>税込請求金額</t>
  </si>
  <si>
    <t>課税対象額10％</t>
  </si>
  <si>
    <t>課税対象額8％</t>
  </si>
  <si>
    <t>非課税対象額</t>
  </si>
  <si>
    <t>税抜合計金額</t>
  </si>
  <si>
    <t>★明細となるスタッフの勤務実績データ</t>
  </si>
  <si>
    <t>売上予測</t>
  </si>
  <si>
    <t>週次、月次のヨミを1～2週間前に見込み含めて出す。</t>
  </si>
  <si>
    <t>給与予測</t>
  </si>
  <si>
    <t>利益率</t>
  </si>
  <si>
    <t>氏名</t>
  </si>
  <si>
    <t>基本給</t>
  </si>
  <si>
    <t>時間外割増賃金</t>
  </si>
  <si>
    <t>休日労働割増賃金</t>
  </si>
  <si>
    <t>深夜割増賃金</t>
  </si>
  <si>
    <t>厚生年金寮</t>
  </si>
  <si>
    <t>社会保険料控除後の総支給額</t>
  </si>
  <si>
    <t>源泉所得税</t>
  </si>
  <si>
    <t>住民税</t>
  </si>
  <si>
    <t>差引支給額</t>
  </si>
  <si>
    <t>労働日数</t>
  </si>
  <si>
    <t>休日労働時間</t>
  </si>
  <si>
    <t>残業時間</t>
  </si>
  <si>
    <t>残業時間(45h/月超)</t>
  </si>
  <si>
    <t>残業時間(60h/月超)</t>
  </si>
  <si>
    <t>深夜労働時間</t>
  </si>
  <si>
    <t>欠勤日数(控除あり)</t>
  </si>
  <si>
    <t>欠勤日数(控除無し)</t>
  </si>
  <si>
    <t>有給消化日数</t>
  </si>
  <si>
    <t>有給残日数</t>
  </si>
  <si>
    <t>締め期間</t>
  </si>
  <si>
    <t>支払日</t>
  </si>
  <si>
    <t>MG勤怠実績</t>
  </si>
  <si>
    <t>①スタッフ1名の勤怠実績で請求書、給与データを作る</t>
  </si>
  <si>
    <t>1/1-1/30</t>
  </si>
  <si>
    <t>②複数スタッフの勤怠実績で請求書、給与データを作る</t>
  </si>
  <si>
    <t>会社番号</t>
  </si>
  <si>
    <t>会社名</t>
  </si>
  <si>
    <t>請求先番号</t>
  </si>
  <si>
    <t>請求先名</t>
  </si>
  <si>
    <t>請求情報 プラス金額 計算単位 （所定内） 分</t>
  </si>
  <si>
    <t>請求情報 プラス金額 計算単位 （所定内） 適用する</t>
  </si>
  <si>
    <t>請求情報 プラス金額 計算単位 （所定外） 分</t>
  </si>
  <si>
    <t>請求情報 プラス金額 精算方法</t>
  </si>
  <si>
    <t>請求情報 プラス金額 端数処理のタイミング（一日ごと・累計）</t>
  </si>
  <si>
    <t>請求情報 プラス金額 円未満</t>
  </si>
  <si>
    <t>請求情報 マイナス金額 計算単位 分</t>
  </si>
  <si>
    <t>請求情報 マイナス金額 精算方法</t>
  </si>
  <si>
    <t>請求情報 マイナス金額 端数処理のタイミング（一日ごと・累計）</t>
  </si>
  <si>
    <t>請求情報 マイナス金額 円未満</t>
  </si>
  <si>
    <t>支払情報 プラス金額 計算単位（所定内） 分</t>
  </si>
  <si>
    <t>支払情報 プラス金額 計算単位（所定内） 適用する</t>
  </si>
  <si>
    <t>支払情報 プラス金額 計算単位（所定外） 分</t>
  </si>
  <si>
    <t>支払情報 プラス金額 精算方法</t>
  </si>
  <si>
    <t>支払情報 プラス金額 端数処理のタイミング（一日ごと・累計）</t>
  </si>
  <si>
    <t>支払情報 プラス金額 円未満</t>
  </si>
  <si>
    <t>支払情報 マイナス金額 計算単位 分</t>
  </si>
  <si>
    <t>支払情報 マイナス金額 精算方法</t>
  </si>
  <si>
    <t>支払情報 マイナス金額 端数処理のタイミング（一日ごと・累計）</t>
  </si>
  <si>
    <t>支払情報 マイナス金額 円未満</t>
  </si>
  <si>
    <t>会社担当者名</t>
  </si>
  <si>
    <t>郵便番号</t>
  </si>
  <si>
    <t>住所</t>
  </si>
  <si>
    <t>住所2 番地など</t>
  </si>
  <si>
    <t>宛名</t>
  </si>
  <si>
    <t>敬称</t>
  </si>
  <si>
    <t>営業担当氏名</t>
  </si>
  <si>
    <t>フリガナ</t>
  </si>
  <si>
    <t>肩書き</t>
  </si>
  <si>
    <t>TEL</t>
  </si>
  <si>
    <t>携帯</t>
  </si>
  <si>
    <t>FAX</t>
  </si>
  <si>
    <t>メール</t>
  </si>
  <si>
    <t>消費税</t>
  </si>
  <si>
    <t>消費税端数処理</t>
  </si>
  <si>
    <t>支払いサイト 締日</t>
  </si>
  <si>
    <t>支払いサイト 支払月</t>
  </si>
  <si>
    <t>支払いサイト 支払日</t>
  </si>
  <si>
    <t>週40時間勤務計上</t>
  </si>
  <si>
    <t>メモ</t>
  </si>
  <si>
    <t>①</t>
  </si>
  <si>
    <t>適用する</t>
  </si>
  <si>
    <t>日割</t>
  </si>
  <si>
    <t>累計</t>
  </si>
  <si>
    <t>四捨五入</t>
  </si>
  <si>
    <t>259-1128</t>
  </si>
  <si>
    <t>外税</t>
  </si>
  <si>
    <t>末</t>
  </si>
  <si>
    <t>翌月</t>
  </si>
  <si>
    <t>実施する</t>
  </si>
  <si>
    <t>②</t>
  </si>
  <si>
    <t>252-0331</t>
  </si>
  <si>
    <t>契約番号</t>
  </si>
  <si>
    <t>番号</t>
  </si>
  <si>
    <t>都道府県</t>
  </si>
  <si>
    <t>本人乙欄</t>
  </si>
  <si>
    <t>6月分住民税</t>
  </si>
  <si>
    <t>7月分住民税</t>
  </si>
  <si>
    <t>8～5月分住民税</t>
  </si>
  <si>
    <t>雇用保険加入</t>
  </si>
  <si>
    <t>健康保険加入</t>
  </si>
  <si>
    <t>厚生年金保険加入</t>
  </si>
  <si>
    <t>介護保険加入</t>
  </si>
  <si>
    <t>税表区分</t>
  </si>
  <si>
    <t>標準報酬月額</t>
  </si>
  <si>
    <t>入社日</t>
  </si>
  <si>
    <t>派遣開始日</t>
  </si>
  <si>
    <t>派遣終了日</t>
  </si>
  <si>
    <t>料金名</t>
  </si>
  <si>
    <t>勤務開始時間</t>
  </si>
  <si>
    <t>勤務終了時間</t>
  </si>
  <si>
    <t>休憩時間</t>
  </si>
  <si>
    <t>深夜休憩時間</t>
  </si>
  <si>
    <t>所定労働時間</t>
  </si>
  <si>
    <t>請求料金 料金種別（時給/日給/月給）</t>
  </si>
  <si>
    <t>請求料金 基本単価</t>
  </si>
  <si>
    <t>請求料金 法定内残業単価</t>
  </si>
  <si>
    <t>請求料金 法定外残業単価</t>
  </si>
  <si>
    <t>請求料金 法定外残業単価(月45h超)</t>
  </si>
  <si>
    <t>請求料金 法定外残業単価(月60h超)</t>
  </si>
  <si>
    <t>請求料金 法定休日単価</t>
  </si>
  <si>
    <t>請求料金 所定休日単価</t>
  </si>
  <si>
    <t>請求料金 深夜割増手当</t>
  </si>
  <si>
    <t>請求料金 欠勤控除</t>
  </si>
  <si>
    <t>請求料金 交通費 選択（実費、一律、支給なし、最大）</t>
  </si>
  <si>
    <t>請求料金 交通費</t>
  </si>
  <si>
    <t>支払料金 料金種別（時給/日給/月給）</t>
  </si>
  <si>
    <t>支払料金 基本単価</t>
  </si>
  <si>
    <t>支払料金 法定内残業単価</t>
  </si>
  <si>
    <t>支払料金 法定外残業単価</t>
  </si>
  <si>
    <t>支払料金 法定外残業単価(月45h超)</t>
  </si>
  <si>
    <t>支払料金 法定外残業単価(月60h超)</t>
  </si>
  <si>
    <t>支払料金 法定休日単価</t>
  </si>
  <si>
    <t>支払料金 所定休日単価</t>
  </si>
  <si>
    <t>支払料金 深夜割増手当</t>
  </si>
  <si>
    <t>支払料金 欠勤控除</t>
  </si>
  <si>
    <t>支払料金 交通費 選択（実費、一律、支給なし、最大）</t>
  </si>
  <si>
    <t>支払料金 交通費</t>
  </si>
  <si>
    <t>日払い、週払い、月払い（日・週・月を入力）</t>
  </si>
  <si>
    <t>給料締め日</t>
  </si>
  <si>
    <t>当月、翌月、翌々月</t>
  </si>
  <si>
    <t>給料支払日</t>
  </si>
  <si>
    <t>法定外残業の時間計算実施有無</t>
  </si>
  <si>
    <t>有給休暇時間単位消化時の所定労働時間調整</t>
  </si>
  <si>
    <t>扶養人数</t>
  </si>
  <si>
    <t>神奈川県</t>
  </si>
  <si>
    <t>甲欄</t>
  </si>
  <si>
    <t>【2068】Aさん</t>
  </si>
  <si>
    <t>時給</t>
  </si>
  <si>
    <t>支給なし</t>
  </si>
  <si>
    <t>一律</t>
  </si>
  <si>
    <t>月</t>
  </si>
  <si>
    <t>開始日時</t>
  </si>
  <si>
    <t>終了日時</t>
  </si>
  <si>
    <t>休憩時間（分）</t>
  </si>
  <si>
    <t>請求種別</t>
  </si>
  <si>
    <t>賃金種別</t>
  </si>
  <si>
    <t>通勤交通費：請求</t>
  </si>
  <si>
    <t>通勤交通費：支給</t>
  </si>
  <si>
    <t>締めフラグ(1=締め済）</t>
  </si>
  <si>
    <t>締め日</t>
  </si>
  <si>
    <t>調整用フラグ（1=調整用）</t>
  </si>
  <si>
    <t>法定休日出勤フラグ</t>
  </si>
  <si>
    <t>給与計算済みフラグ</t>
  </si>
  <si>
    <t>所定休日出勤フラグ</t>
  </si>
  <si>
    <t>深夜休憩時間（分）</t>
  </si>
  <si>
    <t>欠勤(控除なし)</t>
  </si>
  <si>
    <t>欠勤(控除あり)</t>
  </si>
  <si>
    <t>日付</t>
  </si>
  <si>
    <t>請求料金</t>
  </si>
  <si>
    <t>支払い料金</t>
  </si>
  <si>
    <t>半日有給休暇フラグ</t>
  </si>
  <si>
    <t>1日有給休暇フラグ</t>
  </si>
  <si>
    <t>課税金額(10%)</t>
  </si>
  <si>
    <t>課税金額(8%)</t>
  </si>
  <si>
    <t>交通費(内税)として請求書に計上する(1=計上する)</t>
  </si>
  <si>
    <t>非課税・交通費対象額合計</t>
  </si>
  <si>
    <t>交通費(内税)</t>
  </si>
  <si>
    <t>支給課税金額</t>
  </si>
  <si>
    <t>雇用保険算定の基礎にするか（1＝基礎にする）</t>
  </si>
  <si>
    <t>軽減税率(8%)を適用するか(1=適用する)</t>
  </si>
  <si>
    <t>過不足金名</t>
  </si>
  <si>
    <t>所定休日適用日</t>
  </si>
  <si>
    <t>振替休日適用日</t>
  </si>
  <si>
    <t>【2062】Bさん②</t>
  </si>
  <si>
    <t>【1742】Cさん④</t>
  </si>
  <si>
    <t>【2061】Dさん②</t>
  </si>
  <si>
    <t>請求情報は会社情報一覧からしか出力できないため、別で出す必要あり</t>
  </si>
  <si>
    <t>規約カテゴリ</t>
  </si>
  <si>
    <t>Claude側</t>
  </si>
  <si>
    <t>ＢＬ法務回答</t>
  </si>
  <si>
    <t>Claude側 2</t>
  </si>
  <si>
    <t>ＢＬ法務回答 2</t>
  </si>
  <si>
    <t>利用規約</t>
  </si>
  <si>
    <t>プライバシーや身元に関する権利を侵害してはならない</t>
  </si>
  <si>
    <t xml:space="preserve">前ページからの「普遍的な使用基準」では、本サービスの禁止行為が規定されていますが、こちらでは本サービスを利用するにあたっての情報の取り扱いについて定められています。
</t>
  </si>
  <si>
    <t>Anthropicからの事前の許可なしに、入力と出力を利用してAIモデルをトレーニングすること（例：「モデルスクレイピング」または「モデル蒸留」）</t>
  </si>
  <si>
    <t>このような利用方法をされるかわかりませんが、本サービス上で入力及び出力する情報を用いて、AIモデル（他社のAiツールも含まれているかと思います）のトレーニングをすることは禁止されていますのでご留意ください。</t>
  </si>
  <si>
    <t>現状本サービスをどのように利用するかは未確定かと思いますが、「高リスク使用事例」に該当するような利用を行う場合、以下2点を遵守する必要がありますのでご留意ください。
「高リスクな使用事例」に関しては、この下をご確認ください。
当社だと「雇用と住宅」のうち、雇用が該当することになる可能性があるかと思います。
※なお、本サービスの利用方法が「高リスク使用事例」に該当しない場合はご放念ください。</t>
  </si>
  <si>
    <t>	消費者向けチャットボット（外部向けまたは対話型のAIエージェントを含む）はすべて、ユーザーに対し、人間ではなくAIとやり取りしていることを明示しなければなりません。この明示は、少なくとも各チャットセッションの開始時に行う必要があります。</t>
  </si>
  <si>
    <t>将来的にチャットボットを構築する可能性がある場合はこちらの規定を遵守してください。</t>
  </si>
  <si>
    <t>プライバシーポリシー</t>
  </si>
  <si>
    <t>お客様がアカウント設定でオプトアウトしない限り、当社はお客様の入力と出力をモデルのトレーニングやサービスの改善に利用する場合があります。</t>
  </si>
  <si>
    <t>本サービスの利用を変わらず円滑に行うことができるのであれば、アカウント設定からオプトアウトをお願いします。
※各利用契約書面に記載はありませんが、オプトアウトにより機能制限やサービスの利用不可が発生し、当社として利用する目的としていた目的を達成できなくなるのであればこの限りではありません。</t>
  </si>
  <si>
    <t>お客様の個人データは、米国にある当社のサーバー、または欧州経済領域（EEA）および英国以外の国にある当社のサーバーに転送される場合があります。</t>
  </si>
  <si>
    <t xml:space="preserve">日本にて本サービスを利用する場合、利用者が本サービス上で入出力するデータを含めた情報（個人情報を含む）がどの国に保管されるのかご確認いただければと思います。
</t>
  </si>
  <si>
    <t>商用利用規約</t>
  </si>
  <si>
    <t>D3.	出力の制限事項、ユーザーへの通知。
出力を使用または共有する前に、出力が顧客のユースケースに適しているかどうか（人間のレビューが適切な場合を含む）を評価するのは顧客の責任です。顧客は、出力に含まれる事実に関する主張は、虚偽、不完全、誤解を招く、または最近の出来事や情報を反映していない可能性があるため、独自に正確性を確認することなく依拠すべきではないことを認識し、そのユーザーに通知しなければなりません。</t>
  </si>
  <si>
    <t xml:space="preserve">D4.	使用制限。
お客様は、(a) Anthropic が明示的に承認した場合を除き、競合する AI モデルのトレーニングやサービスの再販を含め、競合する製品またはサービスを構築するためにサービスにアクセスすること、(b) サービスのリバースエンジニアリングまたは複製を行うこと、または (c) 本条項で制限されている行為のいずれかを第三者が試みることを支援することを、行ってはなりません。
</t>
  </si>
  <si>
    <t>E4.	破棄要求。
受領者は、開示者の機密情報を要求に応じて速やかに破棄するものとする。</t>
  </si>
  <si>
    <t>商用利用規約において、顧客コンテンツ（当社が本サービス上に入出力するデータを指している）は機密情報に該当し、かつ機密情報は相手方からの要求に応じて破棄する必要があります。
その他の契約書面を見るに破棄いただけるのかがわかりませんが、例えば本サービスの利用終了後等、本サービスを利用しなくなった際にそれまでの間本サービス上に格納していたデータを先方に利用されることは避けたいのでデータ削除の要望をしていただければと思います。</t>
  </si>
  <si>
    <t xml:space="preserve">H1.	料金の支払い。
お客様は、当事者間で別途合意がない限り、モデル料金ページに記載されている料金で、お客様のアカウントで発生した料金を支払う責任を負います。Anthropicは、クレジットの形でサービスに対する前払いを要求するか、または他の種類のクレジットを提供する場合があります。これらはすべて、Anthropicの追加クレジット規約の対象となります。Anthropicは、公開されている料金を更新することがあり、その更新は、Anthropicが更新を掲載してから30日後、またはお客様が別途通知を受け取った日のいずれか早い方から有効となります。
</t>
  </si>
  <si>
    <t>本サービスの利用料金は、先方が変更することができます。
利用料金の変更（更新）が発生する場合、左記の内容に応じて執り行われますので、事前にご一読ください。</t>
  </si>
  <si>
    <t xml:space="preserve">I2.	終了。
I.2.a. 各当事者は、通知によりいつでも都合により本規約を解除することができます。ただし、Anthropic は 30 日前に通知する必要があります。
</t>
  </si>
  <si>
    <t>本項を見るに本規約（本サービス利用）はいつでも解除できるようですが、次項（I.2.b.）をみると相手方に重大な違反があっても30日間は解除できないとされています。
どちらが正になるのか（いつでも解除できる、30日前に通知しないと解除できない）のか分からないのですが、本規約を解除する場合はある程度余裕をもって解除通知をするようお願いします。</t>
  </si>
  <si>
    <t>L.	保証および責任制限
サービスにインプットを送信するために必要なすべての権利および許可を有することを表明し、保証します。</t>
  </si>
  <si>
    <t>本利用規約において、本サービスに入力する情報のすべての権利を有していること、及び権利を有していない場合は使用許諾を得ていることを利用者（当社）が保証することが明記されています。
本サービスに情報を入力する際にはこれらに違反しないようお願いします。</t>
  </si>
  <si>
    <t>M1.	通知。
本規約に基づくすべての通知、要求、権利放棄、およびその他の連絡（それぞれ「通知」といいます）は書面で行う必要があります。仲裁要求または衡平法上の救済を求める通知を除き、本規約に基づく通知は、顧客宛の場合はAnthropicに提供された住所に、Anthropic宛の場合はnotices@anthropic.comに電子的に送付することができます。</t>
  </si>
  <si>
    <t>本項をみるに（本サービスの解約等）、先方への通知は書面で行う必要があるとのことです。
また、記載のアドレスに電子的に送付することも可能とあるので、適宜ご利用ください。</t>
  </si>
  <si>
    <t>データ処理に関する補足事項</t>
  </si>
  <si>
    <t xml:space="preserve">H.	削除と復帰
H1.	本契約の終了または満了日から30日以内に、Anthropicは以下の措置を講じるものとする。
H.1.a 当該期間内に顧客から要請があった場合、管理または保有するすべての顧客データのコピーを返却するか、顧客が同様のことを行えるセルフサービス機能を提供する。
H.1.b Anthropic またはサブプロセッサーによって処理された顧客データ (顧客個人データを含む) のすべてのコピーを削除します。ただし、(i) 適用されるデータ保護法またはその他の適用される法的または規制上の要件により顧客データの保存が要求される場合、(ii) 当事者間の紛争を解決するために Anthropic による顧客データの保持が必要な場合、または (iii) サービスの悪用に対処するために顧客データの保持が必要な場合を除きます。
</t>
  </si>
  <si>
    <t>本サービスの終了後、先方は要望があれば顧客データ（サービスを通じて送信された全てのデータ）のコピーの返却及び削除をするようです。
本書の規定だと元データの削除はされないようですが、こちら元データの削除も可能なのかご確認いただければと思います。
※あくまでコピーのみの削除なのか、元データの削除も含めて削除する旨を定めているのか確認が取れればと思います。</t>
  </si>
  <si>
    <t>サービス固有の規約</t>
  </si>
  <si>
    <t xml:space="preserve">A.        クロード社（チームプラン、企業プラン）
顧客は、ユーザーに対し、(i) 顧客およびそのユーザーがサービスに送信したデータへのアクセスと管理を可能にする管理サービスにアクセスしていること、および (ii) サービスの利用は、プライバシーポリシーおよび利用ポリシーを含む Anthropic のポリシーに従うことを通知しなければなりません。顧客は、必要なユーザーの同意を取得し、適用法で義務付けられているすべてのユーザー通知を提供する責任を負います。
</t>
  </si>
  <si>
    <t>今後当社で本サービスの利用方法を決定した場合、その利用方法によっては必要に応じて、エンドユーザー（個人）に左記の通知をし、同意を得る必要が出てきます。
同意を得る必要がある場合には、法務より別途必要に応じて当社の個人情報に関するコンサルタントにも相談しますが、これは利用契約書面（プライバシーポリシーも含めて）の改訂にも繋がる可能性もあり得ますため、具体的な本サービスの利用方法が決まった場合、なるべく早めに法務に共有いただければと思います。
※なお、利用契約書面の改定には顧客への周知期間を含めて時間がかかる可能性があります。</t>
  </si>
  <si>
    <t>E.	開発パートナープログラム
お客様は、（独自の裁量で）サービスにおけるデータ提供の許可設定（「開発パートナーモード」）を有効にすることにより、開発パートナープログラムへの参加を選択できます。</t>
  </si>
  <si>
    <t>開発パートナーモード（本サービスのデータ提供の許可設定）を有効にしていると、当社が本サービス上で入出力したデータを先方がAIモデルのトレーニング含めて利用できてしまいます。
こちらは無効にした場合でも変わらず本サービスを利用できるのであれば、無効にしていただければと思います。</t>
  </si>
  <si>
    <t>◆利用時の留意点サマリ</t>
  </si>
  <si>
    <t>・入力するデータはサンプルデータに限る、顧客情報や個人情報は入力しない</t>
  </si>
  <si>
    <t>・「開発パートナーモード」は無効化、またオプトアウト(AI学習拒否)の設定を行った上で利用する</t>
  </si>
  <si>
    <t>・オプトアウトにより機能制限がかかるなどの場合は要相談</t>
  </si>
  <si>
    <t>・将来的にAIチャットボットを構築して販売する場合は、チャットボット上にAIである旨を明記する</t>
  </si>
  <si>
    <t>伊勢原市高森</t>
    <phoneticPr fontId="10"/>
  </si>
  <si>
    <t>相模原市南区大野台</t>
    <phoneticPr fontId="10"/>
  </si>
  <si>
    <t>相模原市中央区緑が丘</t>
    <phoneticPr fontId="10"/>
  </si>
  <si>
    <t>相模原市南区御園</t>
    <phoneticPr fontId="10"/>
  </si>
  <si>
    <r>
      <t>MG</t>
    </r>
    <r>
      <rPr>
        <sz val="10"/>
        <color theme="1"/>
        <rFont val="Arial"/>
        <family val="3"/>
        <charset val="128"/>
        <scheme val="minor"/>
      </rPr>
      <t>税込請求金額</t>
    </r>
    <phoneticPr fontId="10"/>
  </si>
  <si>
    <r>
      <t>MG</t>
    </r>
    <r>
      <rPr>
        <sz val="10"/>
        <color theme="1"/>
        <rFont val="Arial"/>
        <family val="3"/>
        <charset val="128"/>
        <scheme val="minor"/>
      </rPr>
      <t>税込支払金額</t>
    </r>
    <phoneticPr fontId="10"/>
  </si>
  <si>
    <t>支払料金 法定外残業単価(月45h超)</t>
    <phoneticPr fontId="10"/>
  </si>
  <si>
    <t>請求料金 法定外残業単価</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</si>
</sst>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font>
      <sz val="10"/>
      <color rgb="FF000000"/>
      <name val="Arial"/>
      <scheme val="minor"/>
    </font>
    <font>
      <sz val="10"/>
      <color theme="1"/>
      <name val="Arial"/>
      <scheme val="minor"/>
    </font>
    <font>
      <u/>
      <sz val="10"/>
      <color rgb="FF0000FF"/>
      <name val="Arial"/>
    </font>
    <font>
      <b/>
      <sz val="12"/>
      <color rgb="FF0000FF"/>
      <name val="Arial"/>
      <scheme val="minor"/>
    </font>
    <font>
      <b/>
      <sz val="10"/>
      <color theme="0"/>
      <name val="Arial"/>
      <scheme val="minor"/>
    </font>
    <font>
      <u/>
      <sz val="10"/>
      <color rgb="FF0000FF"/>
      <name val="Arial"/>
    </font>
    <font>
      <u/>
      <sz val="10"/>
      <color rgb="FF0000FF"/>
      <name val="Arial"/>
    </font>
    <font>
      <sz val="11"/>
      <color rgb="FF000000"/>
      <name val="游ゴシック"/>
      <family val="3"/>
      <charset val="128"/>
    </font>
    <font>
      <b/>
      <sz val="11"/>
      <color theme="0"/>
      <name val="Arial"/>
      <scheme val="minor"/>
    </font>
    <font>
      <b/>
      <sz val="12"/>
      <color theme="1"/>
      <name val="Arial"/>
      <scheme val="minor"/>
    </font>
    <font>
      <sz val="6"/>
      <name val="Arial"/>
      <family val="3"/>
      <charset val="128"/>
      <scheme val="minor"/>
    </font>
    <font>
      <sz val="10"/>
      <color theme="1"/>
      <name val="Arial"/>
      <family val="3"/>
      <charset val="128"/>
      <scheme val="minor"/>
    </font>
    <font>
      <sz val="10"/>
      <color theme="1"/>
      <name val="Arial"/>
      <family val="2"/>
      <scheme val="minor"/>
    </font>
    <font>
      <sz val="10"/>
      <color rgb="FF000000"/>
      <name val="Arial"/>
      <family val="2"/>
      <scheme val="minor"/>
    </font>
    <font>
      <b/>
      <sz val="11"/>
      <color indexed="81"/>
      <name val="MS P ゴシック"/>
      <family val="3"/>
      <charset val="128"/>
    </font>
  </fonts>
  <fills count="4">
    <fill>
      <patternFill patternType="none"/>
    </fill>
    <fill>
      <patternFill patternType="gray125"/>
    </fill>
    <fill>
      <patternFill patternType="solid">
        <fgColor rgb="FFD9EAD3"/>
        <bgColor rgb="FFD9EAD3"/>
      </patternFill>
    </fill>
    <fill>
      <patternFill patternType="solid">
        <fgColor rgb="FFFCE5CD"/>
        <bgColor rgb="FFFCE5C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8">
    <xf numFmtId="0" fontId="0" fillId="0" borderId="0" xfId="0" applyFont="1" applyAlignment="1"/>
    <xf numFmtId="0" fontId="1" fillId="0" borderId="0" xfId="0" applyFont="1" applyAlignment="1"/>
    <xf numFmtId="0" fontId="2" fillId="0" borderId="0" xfId="0" applyFont="1" applyAlignment="1"/>
    <xf numFmtId="0" fontId="3" fillId="0" borderId="0" xfId="0" applyFont="1" applyAlignment="1"/>
    <xf numFmtId="0" fontId="3" fillId="0" borderId="0" xfId="0" applyFont="1"/>
    <xf numFmtId="0" fontId="4" fillId="0" borderId="0" xfId="0" applyFont="1" applyAlignment="1">
      <alignment horizontal="center"/>
    </xf>
    <xf numFmtId="0" fontId="1" fillId="0" borderId="0" xfId="0" applyFont="1" applyAlignment="1"/>
    <xf numFmtId="0" fontId="1" fillId="0" borderId="0" xfId="0" applyFont="1"/>
    <xf numFmtId="0" fontId="1" fillId="0" borderId="0" xfId="0" applyFont="1"/>
    <xf numFmtId="0" fontId="1" fillId="0" borderId="1" xfId="0" applyFont="1" applyBorder="1" applyAlignment="1"/>
    <xf numFmtId="0" fontId="1" fillId="2" borderId="1" xfId="0" applyFont="1" applyFill="1" applyBorder="1" applyAlignment="1"/>
    <xf numFmtId="0" fontId="5" fillId="0" borderId="1" xfId="0" applyFont="1" applyBorder="1" applyAlignment="1"/>
    <xf numFmtId="3" fontId="6" fillId="0" borderId="1" xfId="0" applyNumberFormat="1" applyFont="1" applyBorder="1" applyAlignment="1"/>
    <xf numFmtId="0" fontId="1" fillId="3" borderId="1" xfId="0" applyFont="1" applyFill="1" applyBorder="1" applyAlignment="1"/>
    <xf numFmtId="0" fontId="7" fillId="0" borderId="0" xfId="0" applyFont="1" applyAlignment="1"/>
    <xf numFmtId="0" fontId="7" fillId="0" borderId="0" xfId="0" applyFont="1" applyAlignment="1">
      <alignment horizontal="right"/>
    </xf>
    <xf numFmtId="0" fontId="7" fillId="0" borderId="0" xfId="0" applyFont="1" applyAlignment="1"/>
    <xf numFmtId="0" fontId="7" fillId="0" borderId="0" xfId="0" applyFont="1" applyAlignment="1"/>
    <xf numFmtId="14" fontId="7" fillId="0" borderId="0" xfId="0" applyNumberFormat="1" applyFont="1" applyAlignment="1">
      <alignment horizontal="right"/>
    </xf>
    <xf numFmtId="20" fontId="7" fillId="0" borderId="0" xfId="0" applyNumberFormat="1" applyFont="1" applyAlignment="1">
      <alignment horizontal="right"/>
    </xf>
    <xf numFmtId="22" fontId="7" fillId="0" borderId="0" xfId="0" applyNumberFormat="1" applyFont="1" applyAlignment="1">
      <alignment horizontal="right"/>
    </xf>
    <xf numFmtId="20" fontId="7" fillId="0" borderId="0" xfId="0" applyNumberFormat="1" applyFont="1" applyAlignment="1"/>
    <xf numFmtId="0" fontId="8" fillId="0" borderId="0" xfId="0" applyFont="1" applyAlignment="1">
      <alignment horizontal="center"/>
    </xf>
    <xf numFmtId="0" fontId="9" fillId="0" borderId="0" xfId="0" applyFont="1" applyAlignment="1"/>
    <xf numFmtId="0" fontId="7" fillId="0" borderId="0" xfId="0" applyFont="1" applyAlignment="1"/>
    <xf numFmtId="0" fontId="0" fillId="0" borderId="0" xfId="0" applyFont="1" applyAlignment="1"/>
    <xf numFmtId="0" fontId="12" fillId="0" borderId="1" xfId="0" applyFont="1" applyBorder="1" applyAlignment="1"/>
    <xf numFmtId="0" fontId="13" fillId="0" borderId="0" xfId="0" applyFont="1" applyAlignment="1"/>
  </cellXfs>
  <cellStyles count="1">
    <cellStyle name="標準" xfId="0" builtinId="0"/>
  </cellStyles>
  <dxfs count="7">
    <dxf>
      <fill>
        <patternFill patternType="solid">
          <fgColor rgb="FFFCE5CD"/>
          <bgColor rgb="FFFCE5CD"/>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s>
  <tableStyles count="2">
    <tableStyle name="アウトプットすべきデータ_詳細-style" pivot="0" count="3">
      <tableStyleElement type="headerRow" dxfId="6"/>
      <tableStyleElement type="firstRowStripe" dxfId="5"/>
      <tableStyleElement type="secondRowStripe" dxfId="4"/>
    </tableStyle>
    <tableStyle name="Claude利用留意点-style" pivot="0" count="3">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id="1" name="Table_1" displayName="Table_1" ref="A1:H537">
  <tableColumns count="8">
    <tableColumn id="1" name="#"/>
    <tableColumn id="2" name="記載者"/>
    <tableColumn id="3" name="MUST/WANT"/>
    <tableColumn id="4" name="大分類"/>
    <tableColumn id="5" name="小分類（詳細）"/>
    <tableColumn id="6" name="インプット"/>
    <tableColumn id="7" name="アウトプット"/>
    <tableColumn id="8" name="コメント"/>
  </tableColumns>
  <tableStyleInfo name="アウトプットすべきデータ_詳細-style" showFirstColumn="1" showLastColumn="1" showRowStripes="1" showColumnStripes="0"/>
</table>
</file>

<file path=xl/tables/table2.xml><?xml version="1.0" encoding="utf-8"?>
<table xmlns="http://schemas.openxmlformats.org/spreadsheetml/2006/main" id="2" name="Table_2" displayName="Table_2" ref="A1:E17">
  <tableColumns count="5">
    <tableColumn id="1" name="規約カテゴリ"/>
    <tableColumn id="2" name="Claude側"/>
    <tableColumn id="3" name="ＢＬ法務回答"/>
    <tableColumn id="4" name="Claude側 2"/>
    <tableColumn id="5" name="ＢＬ法務回答 2"/>
  </tableColumns>
  <tableStyleInfo name="Claude利用留意点-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ewmg2.matchingood-asp10.info/ridealstaffsagamihara/index.php"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hyperlink" Target="https://newmg2.matchingood-asp10.info/ridealstaffsagamihara_mgtest/mghakenKyuyo.php?mode=calcByExcel&amp;prev=&amp;next=&amp;closing_date_inf=2026-01-01&amp;closing_date_sup=2026-01-31&amp;company_name=%E3%83%AF%E3%83%83%E3%83%86%E3%82%A3%E3%83%BC%E6%A0%AA%E5%BC%8F%E4%BC%9A%E7%A4%BE&amp;payment_date_inf=&amp;payment_date_sup=&amp;staff_name=&amp;shime_flag=%E7%A2%BA%E5%AE%9A%E6%96%99%E9%87%91&amp;pay_flag=on&amp;hakenmoto_id=&amp;payment_type=-----&amp;submitbutton=%E6%A4%9C%E7%B4%A2" TargetMode="External"/><Relationship Id="rId3" Type="http://schemas.openxmlformats.org/officeDocument/2006/relationships/hyperlink" Target="https://newmg2.matchingood-asp10.info/ridealstaffsagamihara_mgtest/mghakenKyuyo.php?mode=calcByExcel&amp;prev=&amp;next=&amp;closing_date_inf=2026-01-01&amp;closing_date_sup=2026-01-31&amp;company_name=&amp;payment_date_inf=&amp;payment_date_sup=&amp;staff_name=%E6%84%9B%E7%94%B2%E3%80%80%E8%83%A1%E6%A1%83&amp;shime_flag=%E7%A2%BA%E5%AE%9A%E6%96%99%E9%87%91&amp;pay_flag=on&amp;hakenmoto_id=&amp;payment_type=-----&amp;submitbutton=%E6%A4%9C%E7%B4%A2" TargetMode="External"/><Relationship Id="rId7" Type="http://schemas.openxmlformats.org/officeDocument/2006/relationships/hyperlink" Target="https://newmg2.matchingood-asp10.info/ridealstaffsagamihara_mgtest/mghakenKyuyo.php?mode=calcByExcel&amp;prev=&amp;next=&amp;closing_date_inf=2026-01-01&amp;closing_date_sup=2026-01-31&amp;company_name=%E3%83%AF%E3%83%83%E3%83%86%E3%82%A3%E3%83%BC%E6%A0%AA%E5%BC%8F%E4%BC%9A%E7%A4%BE&amp;payment_date_inf=&amp;payment_date_sup=&amp;staff_name=&amp;shime_flag=%E7%A2%BA%E5%AE%9A%E6%96%99%E9%87%91&amp;pay_flag=on&amp;hakenmoto_id=&amp;payment_type=-----&amp;submitbutton=%E6%A4%9C%E7%B4%A2" TargetMode="External"/><Relationship Id="rId2" Type="http://schemas.openxmlformats.org/officeDocument/2006/relationships/hyperlink" Target="https://newmg2.matchingood-asp10.info/ridealstaffsagamihara_mgtest/mghakenSales.php?mode=search&amp;salesStatus%5B%5D=%E8%AB%8B%E6%B1%82%E6%B8%88%E6%9C%AA%E5%85%A5%E9%87%91&amp;sales_date_inf=&amp;sales_date_sup=&amp;assignmentId=&amp;jobId=&amp;company_name=%E6%A0%AA%E5%BC%8F%E4%BC%9A%E7%A4%BE%E5%85%AB%E9%87%8D%E6%A4%BF%E6%9C%AC%E8%88%97%E4%BC%8A%E5%8B%A2%E5%8E%9F%E5%B7%A5%E5%A0%B4&amp;demand_date_inf=&amp;demand_date_sup=&amp;billing_dst_name=&amp;receipt_due_date_inf=&amp;receipt_due_date_sup=&amp;selectedAgent=%E5%85%A8%E4%BD%93&amp;agentDepartment=%E5%85%A8%E4%BD%93&amp;company_agent=%E5%85%A8%E4%BD%93&amp;receipt_date_inf=&amp;receipt_date_sup=&amp;demand_receipt_from_date=2026-01-01&amp;demand_receipt_to_date=2026-01-31&amp;demandMemo=&amp;receiptMemo=&amp;submitB=%E6%A4%9C%E7%B4%A2" TargetMode="External"/><Relationship Id="rId1" Type="http://schemas.openxmlformats.org/officeDocument/2006/relationships/hyperlink" Target="https://newmg2.matchingood-asp10.info/ridealstaffsagamihara_mgtest/mghakenKintaiKanri.php?mode=search&amp;demandReceiptId=601" TargetMode="External"/><Relationship Id="rId6" Type="http://schemas.openxmlformats.org/officeDocument/2006/relationships/hyperlink" Target="https://newmg2.matchingood-asp10.info/ridealstaffsagamihara_mgtest/mghakenKyuyo.php?mode=calcByExcel&amp;prev=&amp;next=&amp;closing_date_inf=2026-01-01&amp;closing_date_sup=2026-01-31&amp;company_name=%E3%83%AF%E3%83%83%E3%83%86%E3%82%A3%E3%83%BC%E6%A0%AA%E5%BC%8F%E4%BC%9A%E7%A4%BE&amp;payment_date_inf=&amp;payment_date_sup=&amp;staff_name=&amp;shime_flag=%E7%A2%BA%E5%AE%9A%E6%96%99%E9%87%91&amp;pay_flag=on&amp;hakenmoto_id=&amp;payment_type=-----&amp;submitbutton=%E6%A4%9C%E7%B4%A2" TargetMode="External"/><Relationship Id="rId5" Type="http://schemas.openxmlformats.org/officeDocument/2006/relationships/hyperlink" Target="https://newmg2.matchingood-asp10.info/ridealstaffsagamihara_mgtest/mghakenSales.php?mode=search&amp;salesStatus%5B%5D=%E8%AB%8B%E6%B1%82%E6%B8%88%E6%9C%AA%E5%85%A5%E9%87%91&amp;sales_date_inf=&amp;sales_date_sup=&amp;assignmentId=&amp;jobId=&amp;company_name=%E3%83%AF%E3%83%83%E3%83%86%E3%82%A3%E3%83%BC%E6%A0%AA%E5%BC%8F%E4%BC%9A%E7%A4%BE&amp;demand_date_inf=&amp;demand_date_sup=&amp;billing_dst_name=&amp;receipt_due_date_inf=&amp;receipt_due_date_sup=&amp;selectedAgent=%E5%85%A8%E4%BD%93&amp;agentDepartment=%E5%85%A8%E4%BD%93&amp;company_agent=%E5%85%A8%E4%BD%93&amp;receipt_date_inf=&amp;receipt_date_sup=&amp;demand_receipt_from_date=2026-01-01&amp;demand_receipt_to_date=2026-01-31&amp;demandMemo=&amp;receiptMemo=&amp;submitB=%E6%A4%9C%E7%B4%A2" TargetMode="External"/><Relationship Id="rId10" Type="http://schemas.openxmlformats.org/officeDocument/2006/relationships/comments" Target="../comments1.xml"/><Relationship Id="rId4" Type="http://schemas.openxmlformats.org/officeDocument/2006/relationships/hyperlink" Target="https://newmg2.matchingood-asp10.info/ridealstaffsagamihara_mgtest/mghakenKintaiKanri.php?mode=search&amp;demandReceiptId=511" TargetMode="External"/><Relationship Id="rId9"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
  <sheetViews>
    <sheetView workbookViewId="0"/>
  </sheetViews>
  <sheetFormatPr defaultColWidth="12.6328125" defaultRowHeight="15.75" customHeight="1"/>
  <cols>
    <col min="1" max="1" width="28.26953125" customWidth="1"/>
  </cols>
  <sheetData>
    <row r="1" spans="1:2" ht="15.75" customHeight="1">
      <c r="A1" s="1" t="s">
        <v>0</v>
      </c>
      <c r="B1" s="2" t="s">
        <v>1</v>
      </c>
    </row>
  </sheetData>
  <phoneticPr fontId="10"/>
  <hyperlinks>
    <hyperlink ref="B1"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998"/>
  <sheetViews>
    <sheetView workbookViewId="0"/>
  </sheetViews>
  <sheetFormatPr defaultColWidth="12.6328125" defaultRowHeight="15.75" customHeight="1"/>
  <cols>
    <col min="1" max="2" width="3.08984375" customWidth="1"/>
  </cols>
  <sheetData>
    <row r="1" spans="1:3" ht="15.75" customHeight="1">
      <c r="A1" s="3" t="s">
        <v>2</v>
      </c>
    </row>
    <row r="2" spans="1:3" ht="15.75" customHeight="1">
      <c r="A2" s="4"/>
      <c r="B2" s="1" t="s">
        <v>3</v>
      </c>
    </row>
    <row r="3" spans="1:3" ht="15.75" customHeight="1">
      <c r="A3" s="4"/>
      <c r="B3" s="1" t="s">
        <v>4</v>
      </c>
    </row>
    <row r="4" spans="1:3" ht="15.75" customHeight="1">
      <c r="A4" s="4"/>
    </row>
    <row r="5" spans="1:3" ht="15.75" customHeight="1">
      <c r="A5" s="3" t="s">
        <v>5</v>
      </c>
    </row>
    <row r="6" spans="1:3" ht="15.75" customHeight="1">
      <c r="A6" s="4"/>
      <c r="B6" s="1" t="s">
        <v>6</v>
      </c>
    </row>
    <row r="7" spans="1:3" ht="15.75" customHeight="1">
      <c r="A7" s="4"/>
      <c r="B7" s="1" t="s">
        <v>7</v>
      </c>
    </row>
    <row r="8" spans="1:3" ht="15.75" customHeight="1">
      <c r="A8" s="4"/>
    </row>
    <row r="9" spans="1:3" ht="15.75" customHeight="1">
      <c r="A9" s="3" t="s">
        <v>8</v>
      </c>
    </row>
    <row r="10" spans="1:3" ht="15.75" customHeight="1">
      <c r="A10" s="4"/>
      <c r="B10" s="1" t="s">
        <v>9</v>
      </c>
    </row>
    <row r="11" spans="1:3" ht="15.75" customHeight="1">
      <c r="A11" s="4"/>
      <c r="B11" s="1" t="s">
        <v>10</v>
      </c>
    </row>
    <row r="12" spans="1:3" ht="15.75" customHeight="1">
      <c r="A12" s="4"/>
      <c r="B12" s="1" t="s">
        <v>11</v>
      </c>
    </row>
    <row r="13" spans="1:3" ht="15.75" customHeight="1">
      <c r="A13" s="4"/>
    </row>
    <row r="14" spans="1:3" ht="15.75" customHeight="1">
      <c r="A14" s="3" t="s">
        <v>12</v>
      </c>
    </row>
    <row r="15" spans="1:3" ht="15.75" customHeight="1">
      <c r="A15" s="4"/>
      <c r="B15" s="1" t="s">
        <v>13</v>
      </c>
    </row>
    <row r="16" spans="1:3" ht="15.75" customHeight="1">
      <c r="A16" s="4"/>
      <c r="C16" s="1" t="s">
        <v>14</v>
      </c>
    </row>
    <row r="17" spans="1:3" ht="15.75" customHeight="1">
      <c r="A17" s="4"/>
      <c r="B17" s="1" t="s">
        <v>15</v>
      </c>
    </row>
    <row r="18" spans="1:3" ht="15.75" customHeight="1">
      <c r="A18" s="4"/>
      <c r="C18" s="1" t="s">
        <v>16</v>
      </c>
    </row>
    <row r="19" spans="1:3" ht="15.75" customHeight="1">
      <c r="A19" s="4"/>
    </row>
    <row r="20" spans="1:3" ht="15.75" customHeight="1">
      <c r="A20" s="4"/>
    </row>
    <row r="21" spans="1:3" ht="15.75" customHeight="1">
      <c r="A21" s="4"/>
    </row>
    <row r="22" spans="1:3" ht="15.75" customHeight="1">
      <c r="A22" s="3" t="s">
        <v>17</v>
      </c>
    </row>
    <row r="23" spans="1:3" ht="15.75" customHeight="1">
      <c r="A23" s="4"/>
      <c r="B23" s="1" t="s">
        <v>18</v>
      </c>
    </row>
    <row r="24" spans="1:3" ht="15.75" customHeight="1">
      <c r="A24" s="4"/>
      <c r="B24" s="1" t="s">
        <v>19</v>
      </c>
    </row>
    <row r="25" spans="1:3" ht="15.75" customHeight="1">
      <c r="A25" s="4"/>
      <c r="B25" s="1" t="s">
        <v>20</v>
      </c>
    </row>
    <row r="26" spans="1:3" ht="15.75" customHeight="1">
      <c r="A26" s="4"/>
      <c r="B26" s="1" t="s">
        <v>21</v>
      </c>
    </row>
    <row r="27" spans="1:3" ht="15.75" customHeight="1">
      <c r="A27" s="4"/>
      <c r="B27" s="1" t="s">
        <v>22</v>
      </c>
    </row>
    <row r="28" spans="1:3" ht="15.75" customHeight="1">
      <c r="A28" s="4"/>
      <c r="B28" s="1" t="s">
        <v>23</v>
      </c>
    </row>
    <row r="29" spans="1:3" ht="15.75" customHeight="1">
      <c r="A29" s="4"/>
      <c r="B29" s="1" t="s">
        <v>24</v>
      </c>
    </row>
    <row r="30" spans="1:3" ht="15.75" customHeight="1">
      <c r="A30" s="4"/>
    </row>
    <row r="31" spans="1:3" ht="15.75" customHeight="1">
      <c r="A31" s="4"/>
    </row>
    <row r="32" spans="1:3" ht="15.75" customHeight="1">
      <c r="A32" s="4"/>
    </row>
    <row r="33" spans="1:1" ht="15.75" customHeight="1">
      <c r="A33" s="4"/>
    </row>
    <row r="34" spans="1:1" ht="15.75" customHeight="1">
      <c r="A34" s="4"/>
    </row>
    <row r="35" spans="1:1" ht="15.75" customHeight="1">
      <c r="A35" s="4"/>
    </row>
    <row r="36" spans="1:1" ht="15.5">
      <c r="A36" s="4"/>
    </row>
    <row r="37" spans="1:1" ht="15.5">
      <c r="A37" s="4"/>
    </row>
    <row r="38" spans="1:1" ht="15.5">
      <c r="A38" s="4"/>
    </row>
    <row r="39" spans="1:1" ht="15.5">
      <c r="A39" s="4"/>
    </row>
    <row r="40" spans="1:1" ht="15.5">
      <c r="A40" s="4"/>
    </row>
    <row r="41" spans="1:1" ht="15.5">
      <c r="A41" s="4"/>
    </row>
    <row r="42" spans="1:1" ht="15.5">
      <c r="A42" s="4"/>
    </row>
    <row r="43" spans="1:1" ht="15.5">
      <c r="A43" s="4"/>
    </row>
    <row r="44" spans="1:1" ht="15.5">
      <c r="A44" s="4"/>
    </row>
    <row r="45" spans="1:1" ht="15.5">
      <c r="A45" s="4"/>
    </row>
    <row r="46" spans="1:1" ht="15.5">
      <c r="A46" s="4"/>
    </row>
    <row r="47" spans="1:1" ht="15.5">
      <c r="A47" s="4"/>
    </row>
    <row r="48" spans="1:1" ht="15.5">
      <c r="A48" s="4"/>
    </row>
    <row r="49" spans="1:1" ht="15.5">
      <c r="A49" s="4"/>
    </row>
    <row r="50" spans="1:1" ht="15.5">
      <c r="A50" s="4"/>
    </row>
    <row r="51" spans="1:1" ht="15.5">
      <c r="A51" s="4"/>
    </row>
    <row r="52" spans="1:1" ht="15.5">
      <c r="A52" s="4"/>
    </row>
    <row r="53" spans="1:1" ht="15.5">
      <c r="A53" s="4"/>
    </row>
    <row r="54" spans="1:1" ht="15.5">
      <c r="A54" s="4"/>
    </row>
    <row r="55" spans="1:1" ht="15.5">
      <c r="A55" s="4"/>
    </row>
    <row r="56" spans="1:1" ht="15.5">
      <c r="A56" s="4"/>
    </row>
    <row r="57" spans="1:1" ht="15.5">
      <c r="A57" s="4"/>
    </row>
    <row r="58" spans="1:1" ht="15.5">
      <c r="A58" s="4"/>
    </row>
    <row r="59" spans="1:1" ht="15.5">
      <c r="A59" s="4"/>
    </row>
    <row r="60" spans="1:1" ht="15.5">
      <c r="A60" s="4"/>
    </row>
    <row r="61" spans="1:1" ht="15.5">
      <c r="A61" s="4"/>
    </row>
    <row r="62" spans="1:1" ht="15.5">
      <c r="A62" s="4"/>
    </row>
    <row r="63" spans="1:1" ht="15.5">
      <c r="A63" s="4"/>
    </row>
    <row r="64" spans="1:1" ht="15.5">
      <c r="A64" s="4"/>
    </row>
    <row r="65" spans="1:1" ht="15.5">
      <c r="A65" s="4"/>
    </row>
    <row r="66" spans="1:1" ht="15.5">
      <c r="A66" s="4"/>
    </row>
    <row r="67" spans="1:1" ht="15.5">
      <c r="A67" s="4"/>
    </row>
    <row r="68" spans="1:1" ht="15.5">
      <c r="A68" s="4"/>
    </row>
    <row r="69" spans="1:1" ht="15.5">
      <c r="A69" s="4"/>
    </row>
    <row r="70" spans="1:1" ht="15.5">
      <c r="A70" s="4"/>
    </row>
    <row r="71" spans="1:1" ht="15.5">
      <c r="A71" s="4"/>
    </row>
    <row r="72" spans="1:1" ht="15.5">
      <c r="A72" s="4"/>
    </row>
    <row r="73" spans="1:1" ht="15.5">
      <c r="A73" s="4"/>
    </row>
    <row r="74" spans="1:1" ht="15.5">
      <c r="A74" s="4"/>
    </row>
    <row r="75" spans="1:1" ht="15.5">
      <c r="A75" s="4"/>
    </row>
    <row r="76" spans="1:1" ht="15.5">
      <c r="A76" s="4"/>
    </row>
    <row r="77" spans="1:1" ht="15.5">
      <c r="A77" s="4"/>
    </row>
    <row r="78" spans="1:1" ht="15.5">
      <c r="A78" s="4"/>
    </row>
    <row r="79" spans="1:1" ht="15.5">
      <c r="A79" s="4"/>
    </row>
    <row r="80" spans="1:1" ht="15.5">
      <c r="A80" s="4"/>
    </row>
    <row r="81" spans="1:1" ht="15.5">
      <c r="A81" s="4"/>
    </row>
    <row r="82" spans="1:1" ht="15.5">
      <c r="A82" s="4"/>
    </row>
    <row r="83" spans="1:1" ht="15.5">
      <c r="A83" s="4"/>
    </row>
    <row r="84" spans="1:1" ht="15.5">
      <c r="A84" s="4"/>
    </row>
    <row r="85" spans="1:1" ht="15.5">
      <c r="A85" s="4"/>
    </row>
    <row r="86" spans="1:1" ht="15.5">
      <c r="A86" s="4"/>
    </row>
    <row r="87" spans="1:1" ht="15.5">
      <c r="A87" s="4"/>
    </row>
    <row r="88" spans="1:1" ht="15.5">
      <c r="A88" s="4"/>
    </row>
    <row r="89" spans="1:1" ht="15.5">
      <c r="A89" s="4"/>
    </row>
    <row r="90" spans="1:1" ht="15.5">
      <c r="A90" s="4"/>
    </row>
    <row r="91" spans="1:1" ht="15.5">
      <c r="A91" s="4"/>
    </row>
    <row r="92" spans="1:1" ht="15.5">
      <c r="A92" s="4"/>
    </row>
    <row r="93" spans="1:1" ht="15.5">
      <c r="A93" s="4"/>
    </row>
    <row r="94" spans="1:1" ht="15.5">
      <c r="A94" s="4"/>
    </row>
    <row r="95" spans="1:1" ht="15.5">
      <c r="A95" s="4"/>
    </row>
    <row r="96" spans="1:1" ht="15.5">
      <c r="A96" s="4"/>
    </row>
    <row r="97" spans="1:1" ht="15.5">
      <c r="A97" s="4"/>
    </row>
    <row r="98" spans="1:1" ht="15.5">
      <c r="A98" s="4"/>
    </row>
    <row r="99" spans="1:1" ht="15.5">
      <c r="A99" s="4"/>
    </row>
    <row r="100" spans="1:1" ht="15.5">
      <c r="A100" s="4"/>
    </row>
    <row r="101" spans="1:1" ht="15.5">
      <c r="A101" s="4"/>
    </row>
    <row r="102" spans="1:1" ht="15.5">
      <c r="A102" s="4"/>
    </row>
    <row r="103" spans="1:1" ht="15.5">
      <c r="A103" s="4"/>
    </row>
    <row r="104" spans="1:1" ht="15.5">
      <c r="A104" s="4"/>
    </row>
    <row r="105" spans="1:1" ht="15.5">
      <c r="A105" s="4"/>
    </row>
    <row r="106" spans="1:1" ht="15.5">
      <c r="A106" s="4"/>
    </row>
    <row r="107" spans="1:1" ht="15.5">
      <c r="A107" s="4"/>
    </row>
    <row r="108" spans="1:1" ht="15.5">
      <c r="A108" s="4"/>
    </row>
    <row r="109" spans="1:1" ht="15.5">
      <c r="A109" s="4"/>
    </row>
    <row r="110" spans="1:1" ht="15.5">
      <c r="A110" s="4"/>
    </row>
    <row r="111" spans="1:1" ht="15.5">
      <c r="A111" s="4"/>
    </row>
    <row r="112" spans="1:1" ht="15.5">
      <c r="A112" s="4"/>
    </row>
    <row r="113" spans="1:1" ht="15.5">
      <c r="A113" s="4"/>
    </row>
    <row r="114" spans="1:1" ht="15.5">
      <c r="A114" s="4"/>
    </row>
    <row r="115" spans="1:1" ht="15.5">
      <c r="A115" s="4"/>
    </row>
    <row r="116" spans="1:1" ht="15.5">
      <c r="A116" s="4"/>
    </row>
    <row r="117" spans="1:1" ht="15.5">
      <c r="A117" s="4"/>
    </row>
    <row r="118" spans="1:1" ht="15.5">
      <c r="A118" s="4"/>
    </row>
    <row r="119" spans="1:1" ht="15.5">
      <c r="A119" s="4"/>
    </row>
    <row r="120" spans="1:1" ht="15.5">
      <c r="A120" s="4"/>
    </row>
    <row r="121" spans="1:1" ht="15.5">
      <c r="A121" s="4"/>
    </row>
    <row r="122" spans="1:1" ht="15.5">
      <c r="A122" s="4"/>
    </row>
    <row r="123" spans="1:1" ht="15.5">
      <c r="A123" s="4"/>
    </row>
    <row r="124" spans="1:1" ht="15.5">
      <c r="A124" s="4"/>
    </row>
    <row r="125" spans="1:1" ht="15.5">
      <c r="A125" s="4"/>
    </row>
    <row r="126" spans="1:1" ht="15.5">
      <c r="A126" s="4"/>
    </row>
    <row r="127" spans="1:1" ht="15.5">
      <c r="A127" s="4"/>
    </row>
    <row r="128" spans="1:1" ht="15.5">
      <c r="A128" s="4"/>
    </row>
    <row r="129" spans="1:1" ht="15.5">
      <c r="A129" s="4"/>
    </row>
    <row r="130" spans="1:1" ht="15.5">
      <c r="A130" s="4"/>
    </row>
    <row r="131" spans="1:1" ht="15.5">
      <c r="A131" s="4"/>
    </row>
    <row r="132" spans="1:1" ht="15.5">
      <c r="A132" s="4"/>
    </row>
    <row r="133" spans="1:1" ht="15.5">
      <c r="A133" s="4"/>
    </row>
    <row r="134" spans="1:1" ht="15.5">
      <c r="A134" s="4"/>
    </row>
    <row r="135" spans="1:1" ht="15.5">
      <c r="A135" s="4"/>
    </row>
    <row r="136" spans="1:1" ht="15.5">
      <c r="A136" s="4"/>
    </row>
    <row r="137" spans="1:1" ht="15.5">
      <c r="A137" s="4"/>
    </row>
    <row r="138" spans="1:1" ht="15.5">
      <c r="A138" s="4"/>
    </row>
    <row r="139" spans="1:1" ht="15.5">
      <c r="A139" s="4"/>
    </row>
    <row r="140" spans="1:1" ht="15.5">
      <c r="A140" s="4"/>
    </row>
    <row r="141" spans="1:1" ht="15.5">
      <c r="A141" s="4"/>
    </row>
    <row r="142" spans="1:1" ht="15.5">
      <c r="A142" s="4"/>
    </row>
    <row r="143" spans="1:1" ht="15.5">
      <c r="A143" s="4"/>
    </row>
    <row r="144" spans="1:1" ht="15.5">
      <c r="A144" s="4"/>
    </row>
    <row r="145" spans="1:1" ht="15.5">
      <c r="A145" s="4"/>
    </row>
    <row r="146" spans="1:1" ht="15.5">
      <c r="A146" s="4"/>
    </row>
    <row r="147" spans="1:1" ht="15.5">
      <c r="A147" s="4"/>
    </row>
    <row r="148" spans="1:1" ht="15.5">
      <c r="A148" s="4"/>
    </row>
    <row r="149" spans="1:1" ht="15.5">
      <c r="A149" s="4"/>
    </row>
    <row r="150" spans="1:1" ht="15.5">
      <c r="A150" s="4"/>
    </row>
    <row r="151" spans="1:1" ht="15.5">
      <c r="A151" s="4"/>
    </row>
    <row r="152" spans="1:1" ht="15.5">
      <c r="A152" s="4"/>
    </row>
    <row r="153" spans="1:1" ht="15.5">
      <c r="A153" s="4"/>
    </row>
    <row r="154" spans="1:1" ht="15.5">
      <c r="A154" s="4"/>
    </row>
    <row r="155" spans="1:1" ht="15.5">
      <c r="A155" s="4"/>
    </row>
    <row r="156" spans="1:1" ht="15.5">
      <c r="A156" s="4"/>
    </row>
    <row r="157" spans="1:1" ht="15.5">
      <c r="A157" s="4"/>
    </row>
    <row r="158" spans="1:1" ht="15.5">
      <c r="A158" s="4"/>
    </row>
    <row r="159" spans="1:1" ht="15.5">
      <c r="A159" s="4"/>
    </row>
    <row r="160" spans="1:1" ht="15.5">
      <c r="A160" s="4"/>
    </row>
    <row r="161" spans="1:1" ht="15.5">
      <c r="A161" s="4"/>
    </row>
    <row r="162" spans="1:1" ht="15.5">
      <c r="A162" s="4"/>
    </row>
    <row r="163" spans="1:1" ht="15.5">
      <c r="A163" s="4"/>
    </row>
    <row r="164" spans="1:1" ht="15.5">
      <c r="A164" s="4"/>
    </row>
    <row r="165" spans="1:1" ht="15.5">
      <c r="A165" s="4"/>
    </row>
    <row r="166" spans="1:1" ht="15.5">
      <c r="A166" s="4"/>
    </row>
    <row r="167" spans="1:1" ht="15.5">
      <c r="A167" s="4"/>
    </row>
    <row r="168" spans="1:1" ht="15.5">
      <c r="A168" s="4"/>
    </row>
    <row r="169" spans="1:1" ht="15.5">
      <c r="A169" s="4"/>
    </row>
    <row r="170" spans="1:1" ht="15.5">
      <c r="A170" s="4"/>
    </row>
    <row r="171" spans="1:1" ht="15.5">
      <c r="A171" s="4"/>
    </row>
    <row r="172" spans="1:1" ht="15.5">
      <c r="A172" s="4"/>
    </row>
    <row r="173" spans="1:1" ht="15.5">
      <c r="A173" s="4"/>
    </row>
    <row r="174" spans="1:1" ht="15.5">
      <c r="A174" s="4"/>
    </row>
    <row r="175" spans="1:1" ht="15.5">
      <c r="A175" s="4"/>
    </row>
    <row r="176" spans="1:1" ht="15.5">
      <c r="A176" s="4"/>
    </row>
    <row r="177" spans="1:1" ht="15.5">
      <c r="A177" s="4"/>
    </row>
    <row r="178" spans="1:1" ht="15.5">
      <c r="A178" s="4"/>
    </row>
    <row r="179" spans="1:1" ht="15.5">
      <c r="A179" s="4"/>
    </row>
    <row r="180" spans="1:1" ht="15.5">
      <c r="A180" s="4"/>
    </row>
    <row r="181" spans="1:1" ht="15.5">
      <c r="A181" s="4"/>
    </row>
    <row r="182" spans="1:1" ht="15.5">
      <c r="A182" s="4"/>
    </row>
    <row r="183" spans="1:1" ht="15.5">
      <c r="A183" s="4"/>
    </row>
    <row r="184" spans="1:1" ht="15.5">
      <c r="A184" s="4"/>
    </row>
    <row r="185" spans="1:1" ht="15.5">
      <c r="A185" s="4"/>
    </row>
    <row r="186" spans="1:1" ht="15.5">
      <c r="A186" s="4"/>
    </row>
    <row r="187" spans="1:1" ht="15.5">
      <c r="A187" s="4"/>
    </row>
    <row r="188" spans="1:1" ht="15.5">
      <c r="A188" s="4"/>
    </row>
    <row r="189" spans="1:1" ht="15.5">
      <c r="A189" s="4"/>
    </row>
    <row r="190" spans="1:1" ht="15.5">
      <c r="A190" s="4"/>
    </row>
    <row r="191" spans="1:1" ht="15.5">
      <c r="A191" s="4"/>
    </row>
    <row r="192" spans="1:1" ht="15.5">
      <c r="A192" s="4"/>
    </row>
    <row r="193" spans="1:1" ht="15.5">
      <c r="A193" s="4"/>
    </row>
    <row r="194" spans="1:1" ht="15.5">
      <c r="A194" s="4"/>
    </row>
    <row r="195" spans="1:1" ht="15.5">
      <c r="A195" s="4"/>
    </row>
    <row r="196" spans="1:1" ht="15.5">
      <c r="A196" s="4"/>
    </row>
    <row r="197" spans="1:1" ht="15.5">
      <c r="A197" s="4"/>
    </row>
    <row r="198" spans="1:1" ht="15.5">
      <c r="A198" s="4"/>
    </row>
    <row r="199" spans="1:1" ht="15.5">
      <c r="A199" s="4"/>
    </row>
    <row r="200" spans="1:1" ht="15.5">
      <c r="A200" s="4"/>
    </row>
    <row r="201" spans="1:1" ht="15.5">
      <c r="A201" s="4"/>
    </row>
    <row r="202" spans="1:1" ht="15.5">
      <c r="A202" s="4"/>
    </row>
    <row r="203" spans="1:1" ht="15.5">
      <c r="A203" s="4"/>
    </row>
    <row r="204" spans="1:1" ht="15.5">
      <c r="A204" s="4"/>
    </row>
    <row r="205" spans="1:1" ht="15.5">
      <c r="A205" s="4"/>
    </row>
    <row r="206" spans="1:1" ht="15.5">
      <c r="A206" s="4"/>
    </row>
    <row r="207" spans="1:1" ht="15.5">
      <c r="A207" s="4"/>
    </row>
    <row r="208" spans="1:1" ht="15.5">
      <c r="A208" s="4"/>
    </row>
    <row r="209" spans="1:1" ht="15.5">
      <c r="A209" s="4"/>
    </row>
    <row r="210" spans="1:1" ht="15.5">
      <c r="A210" s="4"/>
    </row>
    <row r="211" spans="1:1" ht="15.5">
      <c r="A211" s="4"/>
    </row>
    <row r="212" spans="1:1" ht="15.5">
      <c r="A212" s="4"/>
    </row>
    <row r="213" spans="1:1" ht="15.5">
      <c r="A213" s="4"/>
    </row>
    <row r="214" spans="1:1" ht="15.5">
      <c r="A214" s="4"/>
    </row>
    <row r="215" spans="1:1" ht="15.5">
      <c r="A215" s="4"/>
    </row>
    <row r="216" spans="1:1" ht="15.5">
      <c r="A216" s="4"/>
    </row>
    <row r="217" spans="1:1" ht="15.5">
      <c r="A217" s="4"/>
    </row>
    <row r="218" spans="1:1" ht="15.5">
      <c r="A218" s="4"/>
    </row>
    <row r="219" spans="1:1" ht="15.5">
      <c r="A219" s="4"/>
    </row>
    <row r="220" spans="1:1" ht="15.5">
      <c r="A220" s="4"/>
    </row>
    <row r="221" spans="1:1" ht="15.5">
      <c r="A221" s="4"/>
    </row>
    <row r="222" spans="1:1" ht="15.5">
      <c r="A222" s="4"/>
    </row>
    <row r="223" spans="1:1" ht="15.5">
      <c r="A223" s="4"/>
    </row>
    <row r="224" spans="1:1" ht="15.5">
      <c r="A224" s="4"/>
    </row>
    <row r="225" spans="1:1" ht="15.5">
      <c r="A225" s="4"/>
    </row>
    <row r="226" spans="1:1" ht="15.5">
      <c r="A226" s="4"/>
    </row>
    <row r="227" spans="1:1" ht="15.5">
      <c r="A227" s="4"/>
    </row>
    <row r="228" spans="1:1" ht="15.5">
      <c r="A228" s="4"/>
    </row>
    <row r="229" spans="1:1" ht="15.5">
      <c r="A229" s="4"/>
    </row>
    <row r="230" spans="1:1" ht="15.5">
      <c r="A230" s="4"/>
    </row>
    <row r="231" spans="1:1" ht="15.5">
      <c r="A231" s="4"/>
    </row>
    <row r="232" spans="1:1" ht="15.5">
      <c r="A232" s="4"/>
    </row>
    <row r="233" spans="1:1" ht="15.5">
      <c r="A233" s="4"/>
    </row>
    <row r="234" spans="1:1" ht="15.5">
      <c r="A234" s="4"/>
    </row>
    <row r="235" spans="1:1" ht="15.5">
      <c r="A235" s="4"/>
    </row>
    <row r="236" spans="1:1" ht="15.5">
      <c r="A236" s="4"/>
    </row>
    <row r="237" spans="1:1" ht="15.5">
      <c r="A237" s="4"/>
    </row>
    <row r="238" spans="1:1" ht="15.5">
      <c r="A238" s="4"/>
    </row>
    <row r="239" spans="1:1" ht="15.5">
      <c r="A239" s="4"/>
    </row>
    <row r="240" spans="1:1" ht="15.5">
      <c r="A240" s="4"/>
    </row>
    <row r="241" spans="1:1" ht="15.5">
      <c r="A241" s="4"/>
    </row>
    <row r="242" spans="1:1" ht="15.5">
      <c r="A242" s="4"/>
    </row>
    <row r="243" spans="1:1" ht="15.5">
      <c r="A243" s="4"/>
    </row>
    <row r="244" spans="1:1" ht="15.5">
      <c r="A244" s="4"/>
    </row>
    <row r="245" spans="1:1" ht="15.5">
      <c r="A245" s="4"/>
    </row>
    <row r="246" spans="1:1" ht="15.5">
      <c r="A246" s="4"/>
    </row>
    <row r="247" spans="1:1" ht="15.5">
      <c r="A247" s="4"/>
    </row>
    <row r="248" spans="1:1" ht="15.5">
      <c r="A248" s="4"/>
    </row>
    <row r="249" spans="1:1" ht="15.5">
      <c r="A249" s="4"/>
    </row>
    <row r="250" spans="1:1" ht="15.5">
      <c r="A250" s="4"/>
    </row>
    <row r="251" spans="1:1" ht="15.5">
      <c r="A251" s="4"/>
    </row>
    <row r="252" spans="1:1" ht="15.5">
      <c r="A252" s="4"/>
    </row>
    <row r="253" spans="1:1" ht="15.5">
      <c r="A253" s="4"/>
    </row>
    <row r="254" spans="1:1" ht="15.5">
      <c r="A254" s="4"/>
    </row>
    <row r="255" spans="1:1" ht="15.5">
      <c r="A255" s="4"/>
    </row>
    <row r="256" spans="1:1" ht="15.5">
      <c r="A256" s="4"/>
    </row>
    <row r="257" spans="1:1" ht="15.5">
      <c r="A257" s="4"/>
    </row>
    <row r="258" spans="1:1" ht="15.5">
      <c r="A258" s="4"/>
    </row>
    <row r="259" spans="1:1" ht="15.5">
      <c r="A259" s="4"/>
    </row>
    <row r="260" spans="1:1" ht="15.5">
      <c r="A260" s="4"/>
    </row>
    <row r="261" spans="1:1" ht="15.5">
      <c r="A261" s="4"/>
    </row>
    <row r="262" spans="1:1" ht="15.5">
      <c r="A262" s="4"/>
    </row>
    <row r="263" spans="1:1" ht="15.5">
      <c r="A263" s="4"/>
    </row>
    <row r="264" spans="1:1" ht="15.5">
      <c r="A264" s="4"/>
    </row>
    <row r="265" spans="1:1" ht="15.5">
      <c r="A265" s="4"/>
    </row>
    <row r="266" spans="1:1" ht="15.5">
      <c r="A266" s="4"/>
    </row>
    <row r="267" spans="1:1" ht="15.5">
      <c r="A267" s="4"/>
    </row>
    <row r="268" spans="1:1" ht="15.5">
      <c r="A268" s="4"/>
    </row>
    <row r="269" spans="1:1" ht="15.5">
      <c r="A269" s="4"/>
    </row>
    <row r="270" spans="1:1" ht="15.5">
      <c r="A270" s="4"/>
    </row>
    <row r="271" spans="1:1" ht="15.5">
      <c r="A271" s="4"/>
    </row>
    <row r="272" spans="1:1" ht="15.5">
      <c r="A272" s="4"/>
    </row>
    <row r="273" spans="1:1" ht="15.5">
      <c r="A273" s="4"/>
    </row>
    <row r="274" spans="1:1" ht="15.5">
      <c r="A274" s="4"/>
    </row>
    <row r="275" spans="1:1" ht="15.5">
      <c r="A275" s="4"/>
    </row>
    <row r="276" spans="1:1" ht="15.5">
      <c r="A276" s="4"/>
    </row>
    <row r="277" spans="1:1" ht="15.5">
      <c r="A277" s="4"/>
    </row>
    <row r="278" spans="1:1" ht="15.5">
      <c r="A278" s="4"/>
    </row>
    <row r="279" spans="1:1" ht="15.5">
      <c r="A279" s="4"/>
    </row>
    <row r="280" spans="1:1" ht="15.5">
      <c r="A280" s="4"/>
    </row>
    <row r="281" spans="1:1" ht="15.5">
      <c r="A281" s="4"/>
    </row>
    <row r="282" spans="1:1" ht="15.5">
      <c r="A282" s="4"/>
    </row>
    <row r="283" spans="1:1" ht="15.5">
      <c r="A283" s="4"/>
    </row>
    <row r="284" spans="1:1" ht="15.5">
      <c r="A284" s="4"/>
    </row>
    <row r="285" spans="1:1" ht="15.5">
      <c r="A285" s="4"/>
    </row>
    <row r="286" spans="1:1" ht="15.5">
      <c r="A286" s="4"/>
    </row>
    <row r="287" spans="1:1" ht="15.5">
      <c r="A287" s="4"/>
    </row>
    <row r="288" spans="1:1" ht="15.5">
      <c r="A288" s="4"/>
    </row>
    <row r="289" spans="1:1" ht="15.5">
      <c r="A289" s="4"/>
    </row>
    <row r="290" spans="1:1" ht="15.5">
      <c r="A290" s="4"/>
    </row>
    <row r="291" spans="1:1" ht="15.5">
      <c r="A291" s="4"/>
    </row>
    <row r="292" spans="1:1" ht="15.5">
      <c r="A292" s="4"/>
    </row>
    <row r="293" spans="1:1" ht="15.5">
      <c r="A293" s="4"/>
    </row>
    <row r="294" spans="1:1" ht="15.5">
      <c r="A294" s="4"/>
    </row>
    <row r="295" spans="1:1" ht="15.5">
      <c r="A295" s="4"/>
    </row>
    <row r="296" spans="1:1" ht="15.5">
      <c r="A296" s="4"/>
    </row>
    <row r="297" spans="1:1" ht="15.5">
      <c r="A297" s="4"/>
    </row>
    <row r="298" spans="1:1" ht="15.5">
      <c r="A298" s="4"/>
    </row>
    <row r="299" spans="1:1" ht="15.5">
      <c r="A299" s="4"/>
    </row>
    <row r="300" spans="1:1" ht="15.5">
      <c r="A300" s="4"/>
    </row>
    <row r="301" spans="1:1" ht="15.5">
      <c r="A301" s="4"/>
    </row>
    <row r="302" spans="1:1" ht="15.5">
      <c r="A302" s="4"/>
    </row>
    <row r="303" spans="1:1" ht="15.5">
      <c r="A303" s="4"/>
    </row>
    <row r="304" spans="1:1" ht="15.5">
      <c r="A304" s="4"/>
    </row>
    <row r="305" spans="1:1" ht="15.5">
      <c r="A305" s="4"/>
    </row>
    <row r="306" spans="1:1" ht="15.5">
      <c r="A306" s="4"/>
    </row>
    <row r="307" spans="1:1" ht="15.5">
      <c r="A307" s="4"/>
    </row>
    <row r="308" spans="1:1" ht="15.5">
      <c r="A308" s="4"/>
    </row>
    <row r="309" spans="1:1" ht="15.5">
      <c r="A309" s="4"/>
    </row>
    <row r="310" spans="1:1" ht="15.5">
      <c r="A310" s="4"/>
    </row>
    <row r="311" spans="1:1" ht="15.5">
      <c r="A311" s="4"/>
    </row>
    <row r="312" spans="1:1" ht="15.5">
      <c r="A312" s="4"/>
    </row>
    <row r="313" spans="1:1" ht="15.5">
      <c r="A313" s="4"/>
    </row>
    <row r="314" spans="1:1" ht="15.5">
      <c r="A314" s="4"/>
    </row>
    <row r="315" spans="1:1" ht="15.5">
      <c r="A315" s="4"/>
    </row>
    <row r="316" spans="1:1" ht="15.5">
      <c r="A316" s="4"/>
    </row>
    <row r="317" spans="1:1" ht="15.5">
      <c r="A317" s="4"/>
    </row>
    <row r="318" spans="1:1" ht="15.5">
      <c r="A318" s="4"/>
    </row>
    <row r="319" spans="1:1" ht="15.5">
      <c r="A319" s="4"/>
    </row>
    <row r="320" spans="1:1" ht="15.5">
      <c r="A320" s="4"/>
    </row>
    <row r="321" spans="1:1" ht="15.5">
      <c r="A321" s="4"/>
    </row>
    <row r="322" spans="1:1" ht="15.5">
      <c r="A322" s="4"/>
    </row>
    <row r="323" spans="1:1" ht="15.5">
      <c r="A323" s="4"/>
    </row>
    <row r="324" spans="1:1" ht="15.5">
      <c r="A324" s="4"/>
    </row>
    <row r="325" spans="1:1" ht="15.5">
      <c r="A325" s="4"/>
    </row>
    <row r="326" spans="1:1" ht="15.5">
      <c r="A326" s="4"/>
    </row>
    <row r="327" spans="1:1" ht="15.5">
      <c r="A327" s="4"/>
    </row>
    <row r="328" spans="1:1" ht="15.5">
      <c r="A328" s="4"/>
    </row>
    <row r="329" spans="1:1" ht="15.5">
      <c r="A329" s="4"/>
    </row>
    <row r="330" spans="1:1" ht="15.5">
      <c r="A330" s="4"/>
    </row>
    <row r="331" spans="1:1" ht="15.5">
      <c r="A331" s="4"/>
    </row>
    <row r="332" spans="1:1" ht="15.5">
      <c r="A332" s="4"/>
    </row>
    <row r="333" spans="1:1" ht="15.5">
      <c r="A333" s="4"/>
    </row>
    <row r="334" spans="1:1" ht="15.5">
      <c r="A334" s="4"/>
    </row>
    <row r="335" spans="1:1" ht="15.5">
      <c r="A335" s="4"/>
    </row>
    <row r="336" spans="1:1" ht="15.5">
      <c r="A336" s="4"/>
    </row>
    <row r="337" spans="1:1" ht="15.5">
      <c r="A337" s="4"/>
    </row>
    <row r="338" spans="1:1" ht="15.5">
      <c r="A338" s="4"/>
    </row>
    <row r="339" spans="1:1" ht="15.5">
      <c r="A339" s="4"/>
    </row>
    <row r="340" spans="1:1" ht="15.5">
      <c r="A340" s="4"/>
    </row>
    <row r="341" spans="1:1" ht="15.5">
      <c r="A341" s="4"/>
    </row>
    <row r="342" spans="1:1" ht="15.5">
      <c r="A342" s="4"/>
    </row>
    <row r="343" spans="1:1" ht="15.5">
      <c r="A343" s="4"/>
    </row>
    <row r="344" spans="1:1" ht="15.5">
      <c r="A344" s="4"/>
    </row>
    <row r="345" spans="1:1" ht="15.5">
      <c r="A345" s="4"/>
    </row>
    <row r="346" spans="1:1" ht="15.5">
      <c r="A346" s="4"/>
    </row>
    <row r="347" spans="1:1" ht="15.5">
      <c r="A347" s="4"/>
    </row>
    <row r="348" spans="1:1" ht="15.5">
      <c r="A348" s="4"/>
    </row>
    <row r="349" spans="1:1" ht="15.5">
      <c r="A349" s="4"/>
    </row>
    <row r="350" spans="1:1" ht="15.5">
      <c r="A350" s="4"/>
    </row>
    <row r="351" spans="1:1" ht="15.5">
      <c r="A351" s="4"/>
    </row>
    <row r="352" spans="1:1" ht="15.5">
      <c r="A352" s="4"/>
    </row>
    <row r="353" spans="1:1" ht="15.5">
      <c r="A353" s="4"/>
    </row>
    <row r="354" spans="1:1" ht="15.5">
      <c r="A354" s="4"/>
    </row>
    <row r="355" spans="1:1" ht="15.5">
      <c r="A355" s="4"/>
    </row>
    <row r="356" spans="1:1" ht="15.5">
      <c r="A356" s="4"/>
    </row>
    <row r="357" spans="1:1" ht="15.5">
      <c r="A357" s="4"/>
    </row>
    <row r="358" spans="1:1" ht="15.5">
      <c r="A358" s="4"/>
    </row>
    <row r="359" spans="1:1" ht="15.5">
      <c r="A359" s="4"/>
    </row>
    <row r="360" spans="1:1" ht="15.5">
      <c r="A360" s="4"/>
    </row>
    <row r="361" spans="1:1" ht="15.5">
      <c r="A361" s="4"/>
    </row>
    <row r="362" spans="1:1" ht="15.5">
      <c r="A362" s="4"/>
    </row>
    <row r="363" spans="1:1" ht="15.5">
      <c r="A363" s="4"/>
    </row>
    <row r="364" spans="1:1" ht="15.5">
      <c r="A364" s="4"/>
    </row>
    <row r="365" spans="1:1" ht="15.5">
      <c r="A365" s="4"/>
    </row>
    <row r="366" spans="1:1" ht="15.5">
      <c r="A366" s="4"/>
    </row>
    <row r="367" spans="1:1" ht="15.5">
      <c r="A367" s="4"/>
    </row>
    <row r="368" spans="1:1" ht="15.5">
      <c r="A368" s="4"/>
    </row>
    <row r="369" spans="1:1" ht="15.5">
      <c r="A369" s="4"/>
    </row>
    <row r="370" spans="1:1" ht="15.5">
      <c r="A370" s="4"/>
    </row>
    <row r="371" spans="1:1" ht="15.5">
      <c r="A371" s="4"/>
    </row>
    <row r="372" spans="1:1" ht="15.5">
      <c r="A372" s="4"/>
    </row>
    <row r="373" spans="1:1" ht="15.5">
      <c r="A373" s="4"/>
    </row>
    <row r="374" spans="1:1" ht="15.5">
      <c r="A374" s="4"/>
    </row>
    <row r="375" spans="1:1" ht="15.5">
      <c r="A375" s="4"/>
    </row>
    <row r="376" spans="1:1" ht="15.5">
      <c r="A376" s="4"/>
    </row>
    <row r="377" spans="1:1" ht="15.5">
      <c r="A377" s="4"/>
    </row>
    <row r="378" spans="1:1" ht="15.5">
      <c r="A378" s="4"/>
    </row>
    <row r="379" spans="1:1" ht="15.5">
      <c r="A379" s="4"/>
    </row>
    <row r="380" spans="1:1" ht="15.5">
      <c r="A380" s="4"/>
    </row>
    <row r="381" spans="1:1" ht="15.5">
      <c r="A381" s="4"/>
    </row>
    <row r="382" spans="1:1" ht="15.5">
      <c r="A382" s="4"/>
    </row>
    <row r="383" spans="1:1" ht="15.5">
      <c r="A383" s="4"/>
    </row>
    <row r="384" spans="1:1" ht="15.5">
      <c r="A384" s="4"/>
    </row>
    <row r="385" spans="1:1" ht="15.5">
      <c r="A385" s="4"/>
    </row>
    <row r="386" spans="1:1" ht="15.5">
      <c r="A386" s="4"/>
    </row>
    <row r="387" spans="1:1" ht="15.5">
      <c r="A387" s="4"/>
    </row>
    <row r="388" spans="1:1" ht="15.5">
      <c r="A388" s="4"/>
    </row>
    <row r="389" spans="1:1" ht="15.5">
      <c r="A389" s="4"/>
    </row>
    <row r="390" spans="1:1" ht="15.5">
      <c r="A390" s="4"/>
    </row>
    <row r="391" spans="1:1" ht="15.5">
      <c r="A391" s="4"/>
    </row>
    <row r="392" spans="1:1" ht="15.5">
      <c r="A392" s="4"/>
    </row>
    <row r="393" spans="1:1" ht="15.5">
      <c r="A393" s="4"/>
    </row>
    <row r="394" spans="1:1" ht="15.5">
      <c r="A394" s="4"/>
    </row>
    <row r="395" spans="1:1" ht="15.5">
      <c r="A395" s="4"/>
    </row>
    <row r="396" spans="1:1" ht="15.5">
      <c r="A396" s="4"/>
    </row>
    <row r="397" spans="1:1" ht="15.5">
      <c r="A397" s="4"/>
    </row>
    <row r="398" spans="1:1" ht="15.5">
      <c r="A398" s="4"/>
    </row>
    <row r="399" spans="1:1" ht="15.5">
      <c r="A399" s="4"/>
    </row>
    <row r="400" spans="1:1" ht="15.5">
      <c r="A400" s="4"/>
    </row>
    <row r="401" spans="1:1" ht="15.5">
      <c r="A401" s="4"/>
    </row>
    <row r="402" spans="1:1" ht="15.5">
      <c r="A402" s="4"/>
    </row>
    <row r="403" spans="1:1" ht="15.5">
      <c r="A403" s="4"/>
    </row>
    <row r="404" spans="1:1" ht="15.5">
      <c r="A404" s="4"/>
    </row>
    <row r="405" spans="1:1" ht="15.5">
      <c r="A405" s="4"/>
    </row>
    <row r="406" spans="1:1" ht="15.5">
      <c r="A406" s="4"/>
    </row>
    <row r="407" spans="1:1" ht="15.5">
      <c r="A407" s="4"/>
    </row>
    <row r="408" spans="1:1" ht="15.5">
      <c r="A408" s="4"/>
    </row>
    <row r="409" spans="1:1" ht="15.5">
      <c r="A409" s="4"/>
    </row>
    <row r="410" spans="1:1" ht="15.5">
      <c r="A410" s="4"/>
    </row>
    <row r="411" spans="1:1" ht="15.5">
      <c r="A411" s="4"/>
    </row>
    <row r="412" spans="1:1" ht="15.5">
      <c r="A412" s="4"/>
    </row>
    <row r="413" spans="1:1" ht="15.5">
      <c r="A413" s="4"/>
    </row>
    <row r="414" spans="1:1" ht="15.5">
      <c r="A414" s="4"/>
    </row>
    <row r="415" spans="1:1" ht="15.5">
      <c r="A415" s="4"/>
    </row>
    <row r="416" spans="1:1" ht="15.5">
      <c r="A416" s="4"/>
    </row>
    <row r="417" spans="1:1" ht="15.5">
      <c r="A417" s="4"/>
    </row>
    <row r="418" spans="1:1" ht="15.5">
      <c r="A418" s="4"/>
    </row>
    <row r="419" spans="1:1" ht="15.5">
      <c r="A419" s="4"/>
    </row>
    <row r="420" spans="1:1" ht="15.5">
      <c r="A420" s="4"/>
    </row>
    <row r="421" spans="1:1" ht="15.5">
      <c r="A421" s="4"/>
    </row>
    <row r="422" spans="1:1" ht="15.5">
      <c r="A422" s="4"/>
    </row>
    <row r="423" spans="1:1" ht="15.5">
      <c r="A423" s="4"/>
    </row>
    <row r="424" spans="1:1" ht="15.5">
      <c r="A424" s="4"/>
    </row>
    <row r="425" spans="1:1" ht="15.5">
      <c r="A425" s="4"/>
    </row>
    <row r="426" spans="1:1" ht="15.5">
      <c r="A426" s="4"/>
    </row>
    <row r="427" spans="1:1" ht="15.5">
      <c r="A427" s="4"/>
    </row>
    <row r="428" spans="1:1" ht="15.5">
      <c r="A428" s="4"/>
    </row>
    <row r="429" spans="1:1" ht="15.5">
      <c r="A429" s="4"/>
    </row>
    <row r="430" spans="1:1" ht="15.5">
      <c r="A430" s="4"/>
    </row>
    <row r="431" spans="1:1" ht="15.5">
      <c r="A431" s="4"/>
    </row>
    <row r="432" spans="1:1" ht="15.5">
      <c r="A432" s="4"/>
    </row>
    <row r="433" spans="1:1" ht="15.5">
      <c r="A433" s="4"/>
    </row>
    <row r="434" spans="1:1" ht="15.5">
      <c r="A434" s="4"/>
    </row>
    <row r="435" spans="1:1" ht="15.5">
      <c r="A435" s="4"/>
    </row>
    <row r="436" spans="1:1" ht="15.5">
      <c r="A436" s="4"/>
    </row>
    <row r="437" spans="1:1" ht="15.5">
      <c r="A437" s="4"/>
    </row>
    <row r="438" spans="1:1" ht="15.5">
      <c r="A438" s="4"/>
    </row>
    <row r="439" spans="1:1" ht="15.5">
      <c r="A439" s="4"/>
    </row>
    <row r="440" spans="1:1" ht="15.5">
      <c r="A440" s="4"/>
    </row>
    <row r="441" spans="1:1" ht="15.5">
      <c r="A441" s="4"/>
    </row>
    <row r="442" spans="1:1" ht="15.5">
      <c r="A442" s="4"/>
    </row>
    <row r="443" spans="1:1" ht="15.5">
      <c r="A443" s="4"/>
    </row>
    <row r="444" spans="1:1" ht="15.5">
      <c r="A444" s="4"/>
    </row>
    <row r="445" spans="1:1" ht="15.5">
      <c r="A445" s="4"/>
    </row>
    <row r="446" spans="1:1" ht="15.5">
      <c r="A446" s="4"/>
    </row>
    <row r="447" spans="1:1" ht="15.5">
      <c r="A447" s="4"/>
    </row>
    <row r="448" spans="1:1" ht="15.5">
      <c r="A448" s="4"/>
    </row>
    <row r="449" spans="1:1" ht="15.5">
      <c r="A449" s="4"/>
    </row>
    <row r="450" spans="1:1" ht="15.5">
      <c r="A450" s="4"/>
    </row>
    <row r="451" spans="1:1" ht="15.5">
      <c r="A451" s="4"/>
    </row>
    <row r="452" spans="1:1" ht="15.5">
      <c r="A452" s="4"/>
    </row>
    <row r="453" spans="1:1" ht="15.5">
      <c r="A453" s="4"/>
    </row>
    <row r="454" spans="1:1" ht="15.5">
      <c r="A454" s="4"/>
    </row>
    <row r="455" spans="1:1" ht="15.5">
      <c r="A455" s="4"/>
    </row>
    <row r="456" spans="1:1" ht="15.5">
      <c r="A456" s="4"/>
    </row>
    <row r="457" spans="1:1" ht="15.5">
      <c r="A457" s="4"/>
    </row>
    <row r="458" spans="1:1" ht="15.5">
      <c r="A458" s="4"/>
    </row>
    <row r="459" spans="1:1" ht="15.5">
      <c r="A459" s="4"/>
    </row>
    <row r="460" spans="1:1" ht="15.5">
      <c r="A460" s="4"/>
    </row>
    <row r="461" spans="1:1" ht="15.5">
      <c r="A461" s="4"/>
    </row>
    <row r="462" spans="1:1" ht="15.5">
      <c r="A462" s="4"/>
    </row>
    <row r="463" spans="1:1" ht="15.5">
      <c r="A463" s="4"/>
    </row>
    <row r="464" spans="1:1" ht="15.5">
      <c r="A464" s="4"/>
    </row>
    <row r="465" spans="1:1" ht="15.5">
      <c r="A465" s="4"/>
    </row>
    <row r="466" spans="1:1" ht="15.5">
      <c r="A466" s="4"/>
    </row>
    <row r="467" spans="1:1" ht="15.5">
      <c r="A467" s="4"/>
    </row>
    <row r="468" spans="1:1" ht="15.5">
      <c r="A468" s="4"/>
    </row>
    <row r="469" spans="1:1" ht="15.5">
      <c r="A469" s="4"/>
    </row>
    <row r="470" spans="1:1" ht="15.5">
      <c r="A470" s="4"/>
    </row>
    <row r="471" spans="1:1" ht="15.5">
      <c r="A471" s="4"/>
    </row>
    <row r="472" spans="1:1" ht="15.5">
      <c r="A472" s="4"/>
    </row>
    <row r="473" spans="1:1" ht="15.5">
      <c r="A473" s="4"/>
    </row>
    <row r="474" spans="1:1" ht="15.5">
      <c r="A474" s="4"/>
    </row>
    <row r="475" spans="1:1" ht="15.5">
      <c r="A475" s="4"/>
    </row>
    <row r="476" spans="1:1" ht="15.5">
      <c r="A476" s="4"/>
    </row>
    <row r="477" spans="1:1" ht="15.5">
      <c r="A477" s="4"/>
    </row>
    <row r="478" spans="1:1" ht="15.5">
      <c r="A478" s="4"/>
    </row>
    <row r="479" spans="1:1" ht="15.5">
      <c r="A479" s="4"/>
    </row>
    <row r="480" spans="1:1" ht="15.5">
      <c r="A480" s="4"/>
    </row>
    <row r="481" spans="1:1" ht="15.5">
      <c r="A481" s="4"/>
    </row>
    <row r="482" spans="1:1" ht="15.5">
      <c r="A482" s="4"/>
    </row>
    <row r="483" spans="1:1" ht="15.5">
      <c r="A483" s="4"/>
    </row>
    <row r="484" spans="1:1" ht="15.5">
      <c r="A484" s="4"/>
    </row>
    <row r="485" spans="1:1" ht="15.5">
      <c r="A485" s="4"/>
    </row>
    <row r="486" spans="1:1" ht="15.5">
      <c r="A486" s="4"/>
    </row>
    <row r="487" spans="1:1" ht="15.5">
      <c r="A487" s="4"/>
    </row>
    <row r="488" spans="1:1" ht="15.5">
      <c r="A488" s="4"/>
    </row>
    <row r="489" spans="1:1" ht="15.5">
      <c r="A489" s="4"/>
    </row>
    <row r="490" spans="1:1" ht="15.5">
      <c r="A490" s="4"/>
    </row>
    <row r="491" spans="1:1" ht="15.5">
      <c r="A491" s="4"/>
    </row>
    <row r="492" spans="1:1" ht="15.5">
      <c r="A492" s="4"/>
    </row>
    <row r="493" spans="1:1" ht="15.5">
      <c r="A493" s="4"/>
    </row>
    <row r="494" spans="1:1" ht="15.5">
      <c r="A494" s="4"/>
    </row>
    <row r="495" spans="1:1" ht="15.5">
      <c r="A495" s="4"/>
    </row>
    <row r="496" spans="1:1" ht="15.5">
      <c r="A496" s="4"/>
    </row>
    <row r="497" spans="1:1" ht="15.5">
      <c r="A497" s="4"/>
    </row>
    <row r="498" spans="1:1" ht="15.5">
      <c r="A498" s="4"/>
    </row>
    <row r="499" spans="1:1" ht="15.5">
      <c r="A499" s="4"/>
    </row>
    <row r="500" spans="1:1" ht="15.5">
      <c r="A500" s="4"/>
    </row>
    <row r="501" spans="1:1" ht="15.5">
      <c r="A501" s="4"/>
    </row>
    <row r="502" spans="1:1" ht="15.5">
      <c r="A502" s="4"/>
    </row>
    <row r="503" spans="1:1" ht="15.5">
      <c r="A503" s="4"/>
    </row>
    <row r="504" spans="1:1" ht="15.5">
      <c r="A504" s="4"/>
    </row>
    <row r="505" spans="1:1" ht="15.5">
      <c r="A505" s="4"/>
    </row>
    <row r="506" spans="1:1" ht="15.5">
      <c r="A506" s="4"/>
    </row>
    <row r="507" spans="1:1" ht="15.5">
      <c r="A507" s="4"/>
    </row>
    <row r="508" spans="1:1" ht="15.5">
      <c r="A508" s="4"/>
    </row>
    <row r="509" spans="1:1" ht="15.5">
      <c r="A509" s="4"/>
    </row>
    <row r="510" spans="1:1" ht="15.5">
      <c r="A510" s="4"/>
    </row>
    <row r="511" spans="1:1" ht="15.5">
      <c r="A511" s="4"/>
    </row>
    <row r="512" spans="1:1" ht="15.5">
      <c r="A512" s="4"/>
    </row>
    <row r="513" spans="1:1" ht="15.5">
      <c r="A513" s="4"/>
    </row>
    <row r="514" spans="1:1" ht="15.5">
      <c r="A514" s="4"/>
    </row>
    <row r="515" spans="1:1" ht="15.5">
      <c r="A515" s="4"/>
    </row>
    <row r="516" spans="1:1" ht="15.5">
      <c r="A516" s="4"/>
    </row>
    <row r="517" spans="1:1" ht="15.5">
      <c r="A517" s="4"/>
    </row>
    <row r="518" spans="1:1" ht="15.5">
      <c r="A518" s="4"/>
    </row>
    <row r="519" spans="1:1" ht="15.5">
      <c r="A519" s="4"/>
    </row>
    <row r="520" spans="1:1" ht="15.5">
      <c r="A520" s="4"/>
    </row>
    <row r="521" spans="1:1" ht="15.5">
      <c r="A521" s="4"/>
    </row>
    <row r="522" spans="1:1" ht="15.5">
      <c r="A522" s="4"/>
    </row>
    <row r="523" spans="1:1" ht="15.5">
      <c r="A523" s="4"/>
    </row>
    <row r="524" spans="1:1" ht="15.5">
      <c r="A524" s="4"/>
    </row>
    <row r="525" spans="1:1" ht="15.5">
      <c r="A525" s="4"/>
    </row>
    <row r="526" spans="1:1" ht="15.5">
      <c r="A526" s="4"/>
    </row>
    <row r="527" spans="1:1" ht="15.5">
      <c r="A527" s="4"/>
    </row>
    <row r="528" spans="1:1" ht="15.5">
      <c r="A528" s="4"/>
    </row>
    <row r="529" spans="1:1" ht="15.5">
      <c r="A529" s="4"/>
    </row>
    <row r="530" spans="1:1" ht="15.5">
      <c r="A530" s="4"/>
    </row>
    <row r="531" spans="1:1" ht="15.5">
      <c r="A531" s="4"/>
    </row>
    <row r="532" spans="1:1" ht="15.5">
      <c r="A532" s="4"/>
    </row>
    <row r="533" spans="1:1" ht="15.5">
      <c r="A533" s="4"/>
    </row>
    <row r="534" spans="1:1" ht="15.5">
      <c r="A534" s="4"/>
    </row>
    <row r="535" spans="1:1" ht="15.5">
      <c r="A535" s="4"/>
    </row>
    <row r="536" spans="1:1" ht="15.5">
      <c r="A536" s="4"/>
    </row>
    <row r="537" spans="1:1" ht="15.5">
      <c r="A537" s="4"/>
    </row>
    <row r="538" spans="1:1" ht="15.5">
      <c r="A538" s="4"/>
    </row>
    <row r="539" spans="1:1" ht="15.5">
      <c r="A539" s="4"/>
    </row>
    <row r="540" spans="1:1" ht="15.5">
      <c r="A540" s="4"/>
    </row>
    <row r="541" spans="1:1" ht="15.5">
      <c r="A541" s="4"/>
    </row>
    <row r="542" spans="1:1" ht="15.5">
      <c r="A542" s="4"/>
    </row>
    <row r="543" spans="1:1" ht="15.5">
      <c r="A543" s="4"/>
    </row>
    <row r="544" spans="1:1" ht="15.5">
      <c r="A544" s="4"/>
    </row>
    <row r="545" spans="1:1" ht="15.5">
      <c r="A545" s="4"/>
    </row>
    <row r="546" spans="1:1" ht="15.5">
      <c r="A546" s="4"/>
    </row>
    <row r="547" spans="1:1" ht="15.5">
      <c r="A547" s="4"/>
    </row>
    <row r="548" spans="1:1" ht="15.5">
      <c r="A548" s="4"/>
    </row>
    <row r="549" spans="1:1" ht="15.5">
      <c r="A549" s="4"/>
    </row>
    <row r="550" spans="1:1" ht="15.5">
      <c r="A550" s="4"/>
    </row>
    <row r="551" spans="1:1" ht="15.5">
      <c r="A551" s="4"/>
    </row>
    <row r="552" spans="1:1" ht="15.5">
      <c r="A552" s="4"/>
    </row>
    <row r="553" spans="1:1" ht="15.5">
      <c r="A553" s="4"/>
    </row>
    <row r="554" spans="1:1" ht="15.5">
      <c r="A554" s="4"/>
    </row>
    <row r="555" spans="1:1" ht="15.5">
      <c r="A555" s="4"/>
    </row>
    <row r="556" spans="1:1" ht="15.5">
      <c r="A556" s="4"/>
    </row>
    <row r="557" spans="1:1" ht="15.5">
      <c r="A557" s="4"/>
    </row>
    <row r="558" spans="1:1" ht="15.5">
      <c r="A558" s="4"/>
    </row>
    <row r="559" spans="1:1" ht="15.5">
      <c r="A559" s="4"/>
    </row>
    <row r="560" spans="1:1" ht="15.5">
      <c r="A560" s="4"/>
    </row>
    <row r="561" spans="1:1" ht="15.5">
      <c r="A561" s="4"/>
    </row>
    <row r="562" spans="1:1" ht="15.5">
      <c r="A562" s="4"/>
    </row>
    <row r="563" spans="1:1" ht="15.5">
      <c r="A563" s="4"/>
    </row>
    <row r="564" spans="1:1" ht="15.5">
      <c r="A564" s="4"/>
    </row>
    <row r="565" spans="1:1" ht="15.5">
      <c r="A565" s="4"/>
    </row>
    <row r="566" spans="1:1" ht="15.5">
      <c r="A566" s="4"/>
    </row>
    <row r="567" spans="1:1" ht="15.5">
      <c r="A567" s="4"/>
    </row>
    <row r="568" spans="1:1" ht="15.5">
      <c r="A568" s="4"/>
    </row>
    <row r="569" spans="1:1" ht="15.5">
      <c r="A569" s="4"/>
    </row>
    <row r="570" spans="1:1" ht="15.5">
      <c r="A570" s="4"/>
    </row>
    <row r="571" spans="1:1" ht="15.5">
      <c r="A571" s="4"/>
    </row>
    <row r="572" spans="1:1" ht="15.5">
      <c r="A572" s="4"/>
    </row>
    <row r="573" spans="1:1" ht="15.5">
      <c r="A573" s="4"/>
    </row>
    <row r="574" spans="1:1" ht="15.5">
      <c r="A574" s="4"/>
    </row>
    <row r="575" spans="1:1" ht="15.5">
      <c r="A575" s="4"/>
    </row>
    <row r="576" spans="1:1" ht="15.5">
      <c r="A576" s="4"/>
    </row>
    <row r="577" spans="1:1" ht="15.5">
      <c r="A577" s="4"/>
    </row>
    <row r="578" spans="1:1" ht="15.5">
      <c r="A578" s="4"/>
    </row>
    <row r="579" spans="1:1" ht="15.5">
      <c r="A579" s="4"/>
    </row>
    <row r="580" spans="1:1" ht="15.5">
      <c r="A580" s="4"/>
    </row>
    <row r="581" spans="1:1" ht="15.5">
      <c r="A581" s="4"/>
    </row>
    <row r="582" spans="1:1" ht="15.5">
      <c r="A582" s="4"/>
    </row>
    <row r="583" spans="1:1" ht="15.5">
      <c r="A583" s="4"/>
    </row>
    <row r="584" spans="1:1" ht="15.5">
      <c r="A584" s="4"/>
    </row>
    <row r="585" spans="1:1" ht="15.5">
      <c r="A585" s="4"/>
    </row>
    <row r="586" spans="1:1" ht="15.5">
      <c r="A586" s="4"/>
    </row>
    <row r="587" spans="1:1" ht="15.5">
      <c r="A587" s="4"/>
    </row>
    <row r="588" spans="1:1" ht="15.5">
      <c r="A588" s="4"/>
    </row>
    <row r="589" spans="1:1" ht="15.5">
      <c r="A589" s="4"/>
    </row>
    <row r="590" spans="1:1" ht="15.5">
      <c r="A590" s="4"/>
    </row>
    <row r="591" spans="1:1" ht="15.5">
      <c r="A591" s="4"/>
    </row>
    <row r="592" spans="1:1" ht="15.5">
      <c r="A592" s="4"/>
    </row>
    <row r="593" spans="1:1" ht="15.5">
      <c r="A593" s="4"/>
    </row>
    <row r="594" spans="1:1" ht="15.5">
      <c r="A594" s="4"/>
    </row>
    <row r="595" spans="1:1" ht="15.5">
      <c r="A595" s="4"/>
    </row>
    <row r="596" spans="1:1" ht="15.5">
      <c r="A596" s="4"/>
    </row>
    <row r="597" spans="1:1" ht="15.5">
      <c r="A597" s="4"/>
    </row>
    <row r="598" spans="1:1" ht="15.5">
      <c r="A598" s="4"/>
    </row>
    <row r="599" spans="1:1" ht="15.5">
      <c r="A599" s="4"/>
    </row>
    <row r="600" spans="1:1" ht="15.5">
      <c r="A600" s="4"/>
    </row>
    <row r="601" spans="1:1" ht="15.5">
      <c r="A601" s="4"/>
    </row>
    <row r="602" spans="1:1" ht="15.5">
      <c r="A602" s="4"/>
    </row>
    <row r="603" spans="1:1" ht="15.5">
      <c r="A603" s="4"/>
    </row>
    <row r="604" spans="1:1" ht="15.5">
      <c r="A604" s="4"/>
    </row>
    <row r="605" spans="1:1" ht="15.5">
      <c r="A605" s="4"/>
    </row>
    <row r="606" spans="1:1" ht="15.5">
      <c r="A606" s="4"/>
    </row>
    <row r="607" spans="1:1" ht="15.5">
      <c r="A607" s="4"/>
    </row>
    <row r="608" spans="1:1" ht="15.5">
      <c r="A608" s="4"/>
    </row>
    <row r="609" spans="1:1" ht="15.5">
      <c r="A609" s="4"/>
    </row>
    <row r="610" spans="1:1" ht="15.5">
      <c r="A610" s="4"/>
    </row>
    <row r="611" spans="1:1" ht="15.5">
      <c r="A611" s="4"/>
    </row>
    <row r="612" spans="1:1" ht="15.5">
      <c r="A612" s="4"/>
    </row>
    <row r="613" spans="1:1" ht="15.5">
      <c r="A613" s="4"/>
    </row>
    <row r="614" spans="1:1" ht="15.5">
      <c r="A614" s="4"/>
    </row>
    <row r="615" spans="1:1" ht="15.5">
      <c r="A615" s="4"/>
    </row>
    <row r="616" spans="1:1" ht="15.5">
      <c r="A616" s="4"/>
    </row>
    <row r="617" spans="1:1" ht="15.5">
      <c r="A617" s="4"/>
    </row>
    <row r="618" spans="1:1" ht="15.5">
      <c r="A618" s="4"/>
    </row>
    <row r="619" spans="1:1" ht="15.5">
      <c r="A619" s="4"/>
    </row>
    <row r="620" spans="1:1" ht="15.5">
      <c r="A620" s="4"/>
    </row>
    <row r="621" spans="1:1" ht="15.5">
      <c r="A621" s="4"/>
    </row>
    <row r="622" spans="1:1" ht="15.5">
      <c r="A622" s="4"/>
    </row>
    <row r="623" spans="1:1" ht="15.5">
      <c r="A623" s="4"/>
    </row>
    <row r="624" spans="1:1" ht="15.5">
      <c r="A624" s="4"/>
    </row>
    <row r="625" spans="1:1" ht="15.5">
      <c r="A625" s="4"/>
    </row>
    <row r="626" spans="1:1" ht="15.5">
      <c r="A626" s="4"/>
    </row>
    <row r="627" spans="1:1" ht="15.5">
      <c r="A627" s="4"/>
    </row>
    <row r="628" spans="1:1" ht="15.5">
      <c r="A628" s="4"/>
    </row>
    <row r="629" spans="1:1" ht="15.5">
      <c r="A629" s="4"/>
    </row>
    <row r="630" spans="1:1" ht="15.5">
      <c r="A630" s="4"/>
    </row>
    <row r="631" spans="1:1" ht="15.5">
      <c r="A631" s="4"/>
    </row>
    <row r="632" spans="1:1" ht="15.5">
      <c r="A632" s="4"/>
    </row>
    <row r="633" spans="1:1" ht="15.5">
      <c r="A633" s="4"/>
    </row>
    <row r="634" spans="1:1" ht="15.5">
      <c r="A634" s="4"/>
    </row>
    <row r="635" spans="1:1" ht="15.5">
      <c r="A635" s="4"/>
    </row>
    <row r="636" spans="1:1" ht="15.5">
      <c r="A636" s="4"/>
    </row>
    <row r="637" spans="1:1" ht="15.5">
      <c r="A637" s="4"/>
    </row>
    <row r="638" spans="1:1" ht="15.5">
      <c r="A638" s="4"/>
    </row>
    <row r="639" spans="1:1" ht="15.5">
      <c r="A639" s="4"/>
    </row>
    <row r="640" spans="1:1" ht="15.5">
      <c r="A640" s="4"/>
    </row>
    <row r="641" spans="1:1" ht="15.5">
      <c r="A641" s="4"/>
    </row>
    <row r="642" spans="1:1" ht="15.5">
      <c r="A642" s="4"/>
    </row>
    <row r="643" spans="1:1" ht="15.5">
      <c r="A643" s="4"/>
    </row>
    <row r="644" spans="1:1" ht="15.5">
      <c r="A644" s="4"/>
    </row>
    <row r="645" spans="1:1" ht="15.5">
      <c r="A645" s="4"/>
    </row>
    <row r="646" spans="1:1" ht="15.5">
      <c r="A646" s="4"/>
    </row>
    <row r="647" spans="1:1" ht="15.5">
      <c r="A647" s="4"/>
    </row>
    <row r="648" spans="1:1" ht="15.5">
      <c r="A648" s="4"/>
    </row>
    <row r="649" spans="1:1" ht="15.5">
      <c r="A649" s="4"/>
    </row>
    <row r="650" spans="1:1" ht="15.5">
      <c r="A650" s="4"/>
    </row>
    <row r="651" spans="1:1" ht="15.5">
      <c r="A651" s="4"/>
    </row>
    <row r="652" spans="1:1" ht="15.5">
      <c r="A652" s="4"/>
    </row>
    <row r="653" spans="1:1" ht="15.5">
      <c r="A653" s="4"/>
    </row>
    <row r="654" spans="1:1" ht="15.5">
      <c r="A654" s="4"/>
    </row>
    <row r="655" spans="1:1" ht="15.5">
      <c r="A655" s="4"/>
    </row>
    <row r="656" spans="1:1" ht="15.5">
      <c r="A656" s="4"/>
    </row>
    <row r="657" spans="1:1" ht="15.5">
      <c r="A657" s="4"/>
    </row>
    <row r="658" spans="1:1" ht="15.5">
      <c r="A658" s="4"/>
    </row>
    <row r="659" spans="1:1" ht="15.5">
      <c r="A659" s="4"/>
    </row>
    <row r="660" spans="1:1" ht="15.5">
      <c r="A660" s="4"/>
    </row>
    <row r="661" spans="1:1" ht="15.5">
      <c r="A661" s="4"/>
    </row>
    <row r="662" spans="1:1" ht="15.5">
      <c r="A662" s="4"/>
    </row>
    <row r="663" spans="1:1" ht="15.5">
      <c r="A663" s="4"/>
    </row>
    <row r="664" spans="1:1" ht="15.5">
      <c r="A664" s="4"/>
    </row>
    <row r="665" spans="1:1" ht="15.5">
      <c r="A665" s="4"/>
    </row>
    <row r="666" spans="1:1" ht="15.5">
      <c r="A666" s="4"/>
    </row>
    <row r="667" spans="1:1" ht="15.5">
      <c r="A667" s="4"/>
    </row>
    <row r="668" spans="1:1" ht="15.5">
      <c r="A668" s="4"/>
    </row>
    <row r="669" spans="1:1" ht="15.5">
      <c r="A669" s="4"/>
    </row>
    <row r="670" spans="1:1" ht="15.5">
      <c r="A670" s="4"/>
    </row>
    <row r="671" spans="1:1" ht="15.5">
      <c r="A671" s="4"/>
    </row>
    <row r="672" spans="1:1" ht="15.5">
      <c r="A672" s="4"/>
    </row>
    <row r="673" spans="1:1" ht="15.5">
      <c r="A673" s="4"/>
    </row>
    <row r="674" spans="1:1" ht="15.5">
      <c r="A674" s="4"/>
    </row>
    <row r="675" spans="1:1" ht="15.5">
      <c r="A675" s="4"/>
    </row>
    <row r="676" spans="1:1" ht="15.5">
      <c r="A676" s="4"/>
    </row>
    <row r="677" spans="1:1" ht="15.5">
      <c r="A677" s="4"/>
    </row>
    <row r="678" spans="1:1" ht="15.5">
      <c r="A678" s="4"/>
    </row>
    <row r="679" spans="1:1" ht="15.5">
      <c r="A679" s="4"/>
    </row>
    <row r="680" spans="1:1" ht="15.5">
      <c r="A680" s="4"/>
    </row>
    <row r="681" spans="1:1" ht="15.5">
      <c r="A681" s="4"/>
    </row>
    <row r="682" spans="1:1" ht="15.5">
      <c r="A682" s="4"/>
    </row>
    <row r="683" spans="1:1" ht="15.5">
      <c r="A683" s="4"/>
    </row>
    <row r="684" spans="1:1" ht="15.5">
      <c r="A684" s="4"/>
    </row>
    <row r="685" spans="1:1" ht="15.5">
      <c r="A685" s="4"/>
    </row>
    <row r="686" spans="1:1" ht="15.5">
      <c r="A686" s="4"/>
    </row>
    <row r="687" spans="1:1" ht="15.5">
      <c r="A687" s="4"/>
    </row>
    <row r="688" spans="1:1" ht="15.5">
      <c r="A688" s="4"/>
    </row>
    <row r="689" spans="1:1" ht="15.5">
      <c r="A689" s="4"/>
    </row>
    <row r="690" spans="1:1" ht="15.5">
      <c r="A690" s="4"/>
    </row>
    <row r="691" spans="1:1" ht="15.5">
      <c r="A691" s="4"/>
    </row>
    <row r="692" spans="1:1" ht="15.5">
      <c r="A692" s="4"/>
    </row>
    <row r="693" spans="1:1" ht="15.5">
      <c r="A693" s="4"/>
    </row>
    <row r="694" spans="1:1" ht="15.5">
      <c r="A694" s="4"/>
    </row>
    <row r="695" spans="1:1" ht="15.5">
      <c r="A695" s="4"/>
    </row>
    <row r="696" spans="1:1" ht="15.5">
      <c r="A696" s="4"/>
    </row>
    <row r="697" spans="1:1" ht="15.5">
      <c r="A697" s="4"/>
    </row>
    <row r="698" spans="1:1" ht="15.5">
      <c r="A698" s="4"/>
    </row>
    <row r="699" spans="1:1" ht="15.5">
      <c r="A699" s="4"/>
    </row>
    <row r="700" spans="1:1" ht="15.5">
      <c r="A700" s="4"/>
    </row>
    <row r="701" spans="1:1" ht="15.5">
      <c r="A701" s="4"/>
    </row>
    <row r="702" spans="1:1" ht="15.5">
      <c r="A702" s="4"/>
    </row>
    <row r="703" spans="1:1" ht="15.5">
      <c r="A703" s="4"/>
    </row>
    <row r="704" spans="1:1" ht="15.5">
      <c r="A704" s="4"/>
    </row>
    <row r="705" spans="1:1" ht="15.5">
      <c r="A705" s="4"/>
    </row>
    <row r="706" spans="1:1" ht="15.5">
      <c r="A706" s="4"/>
    </row>
    <row r="707" spans="1:1" ht="15.5">
      <c r="A707" s="4"/>
    </row>
    <row r="708" spans="1:1" ht="15.5">
      <c r="A708" s="4"/>
    </row>
    <row r="709" spans="1:1" ht="15.5">
      <c r="A709" s="4"/>
    </row>
    <row r="710" spans="1:1" ht="15.5">
      <c r="A710" s="4"/>
    </row>
    <row r="711" spans="1:1" ht="15.5">
      <c r="A711" s="4"/>
    </row>
    <row r="712" spans="1:1" ht="15.5">
      <c r="A712" s="4"/>
    </row>
    <row r="713" spans="1:1" ht="15.5">
      <c r="A713" s="4"/>
    </row>
    <row r="714" spans="1:1" ht="15.5">
      <c r="A714" s="4"/>
    </row>
    <row r="715" spans="1:1" ht="15.5">
      <c r="A715" s="4"/>
    </row>
    <row r="716" spans="1:1" ht="15.5">
      <c r="A716" s="4"/>
    </row>
    <row r="717" spans="1:1" ht="15.5">
      <c r="A717" s="4"/>
    </row>
    <row r="718" spans="1:1" ht="15.5">
      <c r="A718" s="4"/>
    </row>
    <row r="719" spans="1:1" ht="15.5">
      <c r="A719" s="4"/>
    </row>
    <row r="720" spans="1:1" ht="15.5">
      <c r="A720" s="4"/>
    </row>
    <row r="721" spans="1:1" ht="15.5">
      <c r="A721" s="4"/>
    </row>
    <row r="722" spans="1:1" ht="15.5">
      <c r="A722" s="4"/>
    </row>
    <row r="723" spans="1:1" ht="15.5">
      <c r="A723" s="4"/>
    </row>
    <row r="724" spans="1:1" ht="15.5">
      <c r="A724" s="4"/>
    </row>
    <row r="725" spans="1:1" ht="15.5">
      <c r="A725" s="4"/>
    </row>
    <row r="726" spans="1:1" ht="15.5">
      <c r="A726" s="4"/>
    </row>
    <row r="727" spans="1:1" ht="15.5">
      <c r="A727" s="4"/>
    </row>
    <row r="728" spans="1:1" ht="15.5">
      <c r="A728" s="4"/>
    </row>
    <row r="729" spans="1:1" ht="15.5">
      <c r="A729" s="4"/>
    </row>
    <row r="730" spans="1:1" ht="15.5">
      <c r="A730" s="4"/>
    </row>
    <row r="731" spans="1:1" ht="15.5">
      <c r="A731" s="4"/>
    </row>
    <row r="732" spans="1:1" ht="15.5">
      <c r="A732" s="4"/>
    </row>
    <row r="733" spans="1:1" ht="15.5">
      <c r="A733" s="4"/>
    </row>
    <row r="734" spans="1:1" ht="15.5">
      <c r="A734" s="4"/>
    </row>
    <row r="735" spans="1:1" ht="15.5">
      <c r="A735" s="4"/>
    </row>
    <row r="736" spans="1:1" ht="15.5">
      <c r="A736" s="4"/>
    </row>
    <row r="737" spans="1:1" ht="15.5">
      <c r="A737" s="4"/>
    </row>
    <row r="738" spans="1:1" ht="15.5">
      <c r="A738" s="4"/>
    </row>
    <row r="739" spans="1:1" ht="15.5">
      <c r="A739" s="4"/>
    </row>
    <row r="740" spans="1:1" ht="15.5">
      <c r="A740" s="4"/>
    </row>
    <row r="741" spans="1:1" ht="15.5">
      <c r="A741" s="4"/>
    </row>
    <row r="742" spans="1:1" ht="15.5">
      <c r="A742" s="4"/>
    </row>
    <row r="743" spans="1:1" ht="15.5">
      <c r="A743" s="4"/>
    </row>
    <row r="744" spans="1:1" ht="15.5">
      <c r="A744" s="4"/>
    </row>
    <row r="745" spans="1:1" ht="15.5">
      <c r="A745" s="4"/>
    </row>
    <row r="746" spans="1:1" ht="15.5">
      <c r="A746" s="4"/>
    </row>
    <row r="747" spans="1:1" ht="15.5">
      <c r="A747" s="4"/>
    </row>
    <row r="748" spans="1:1" ht="15.5">
      <c r="A748" s="4"/>
    </row>
    <row r="749" spans="1:1" ht="15.5">
      <c r="A749" s="4"/>
    </row>
    <row r="750" spans="1:1" ht="15.5">
      <c r="A750" s="4"/>
    </row>
    <row r="751" spans="1:1" ht="15.5">
      <c r="A751" s="4"/>
    </row>
    <row r="752" spans="1:1" ht="15.5">
      <c r="A752" s="4"/>
    </row>
    <row r="753" spans="1:1" ht="15.5">
      <c r="A753" s="4"/>
    </row>
    <row r="754" spans="1:1" ht="15.5">
      <c r="A754" s="4"/>
    </row>
    <row r="755" spans="1:1" ht="15.5">
      <c r="A755" s="4"/>
    </row>
    <row r="756" spans="1:1" ht="15.5">
      <c r="A756" s="4"/>
    </row>
    <row r="757" spans="1:1" ht="15.5">
      <c r="A757" s="4"/>
    </row>
    <row r="758" spans="1:1" ht="15.5">
      <c r="A758" s="4"/>
    </row>
    <row r="759" spans="1:1" ht="15.5">
      <c r="A759" s="4"/>
    </row>
    <row r="760" spans="1:1" ht="15.5">
      <c r="A760" s="4"/>
    </row>
    <row r="761" spans="1:1" ht="15.5">
      <c r="A761" s="4"/>
    </row>
    <row r="762" spans="1:1" ht="15.5">
      <c r="A762" s="4"/>
    </row>
    <row r="763" spans="1:1" ht="15.5">
      <c r="A763" s="4"/>
    </row>
    <row r="764" spans="1:1" ht="15.5">
      <c r="A764" s="4"/>
    </row>
    <row r="765" spans="1:1" ht="15.5">
      <c r="A765" s="4"/>
    </row>
    <row r="766" spans="1:1" ht="15.5">
      <c r="A766" s="4"/>
    </row>
    <row r="767" spans="1:1" ht="15.5">
      <c r="A767" s="4"/>
    </row>
    <row r="768" spans="1:1" ht="15.5">
      <c r="A768" s="4"/>
    </row>
    <row r="769" spans="1:1" ht="15.5">
      <c r="A769" s="4"/>
    </row>
    <row r="770" spans="1:1" ht="15.5">
      <c r="A770" s="4"/>
    </row>
    <row r="771" spans="1:1" ht="15.5">
      <c r="A771" s="4"/>
    </row>
    <row r="772" spans="1:1" ht="15.5">
      <c r="A772" s="4"/>
    </row>
    <row r="773" spans="1:1" ht="15.5">
      <c r="A773" s="4"/>
    </row>
    <row r="774" spans="1:1" ht="15.5">
      <c r="A774" s="4"/>
    </row>
    <row r="775" spans="1:1" ht="15.5">
      <c r="A775" s="4"/>
    </row>
    <row r="776" spans="1:1" ht="15.5">
      <c r="A776" s="4"/>
    </row>
    <row r="777" spans="1:1" ht="15.5">
      <c r="A777" s="4"/>
    </row>
    <row r="778" spans="1:1" ht="15.5">
      <c r="A778" s="4"/>
    </row>
    <row r="779" spans="1:1" ht="15.5">
      <c r="A779" s="4"/>
    </row>
    <row r="780" spans="1:1" ht="15.5">
      <c r="A780" s="4"/>
    </row>
    <row r="781" spans="1:1" ht="15.5">
      <c r="A781" s="4"/>
    </row>
    <row r="782" spans="1:1" ht="15.5">
      <c r="A782" s="4"/>
    </row>
    <row r="783" spans="1:1" ht="15.5">
      <c r="A783" s="4"/>
    </row>
    <row r="784" spans="1:1" ht="15.5">
      <c r="A784" s="4"/>
    </row>
    <row r="785" spans="1:1" ht="15.5">
      <c r="A785" s="4"/>
    </row>
    <row r="786" spans="1:1" ht="15.5">
      <c r="A786" s="4"/>
    </row>
    <row r="787" spans="1:1" ht="15.5">
      <c r="A787" s="4"/>
    </row>
    <row r="788" spans="1:1" ht="15.5">
      <c r="A788" s="4"/>
    </row>
    <row r="789" spans="1:1" ht="15.5">
      <c r="A789" s="4"/>
    </row>
    <row r="790" spans="1:1" ht="15.5">
      <c r="A790" s="4"/>
    </row>
    <row r="791" spans="1:1" ht="15.5">
      <c r="A791" s="4"/>
    </row>
    <row r="792" spans="1:1" ht="15.5">
      <c r="A792" s="4"/>
    </row>
    <row r="793" spans="1:1" ht="15.5">
      <c r="A793" s="4"/>
    </row>
    <row r="794" spans="1:1" ht="15.5">
      <c r="A794" s="4"/>
    </row>
    <row r="795" spans="1:1" ht="15.5">
      <c r="A795" s="4"/>
    </row>
    <row r="796" spans="1:1" ht="15.5">
      <c r="A796" s="4"/>
    </row>
    <row r="797" spans="1:1" ht="15.5">
      <c r="A797" s="4"/>
    </row>
    <row r="798" spans="1:1" ht="15.5">
      <c r="A798" s="4"/>
    </row>
    <row r="799" spans="1:1" ht="15.5">
      <c r="A799" s="4"/>
    </row>
    <row r="800" spans="1:1" ht="15.5">
      <c r="A800" s="4"/>
    </row>
    <row r="801" spans="1:1" ht="15.5">
      <c r="A801" s="4"/>
    </row>
    <row r="802" spans="1:1" ht="15.5">
      <c r="A802" s="4"/>
    </row>
    <row r="803" spans="1:1" ht="15.5">
      <c r="A803" s="4"/>
    </row>
    <row r="804" spans="1:1" ht="15.5">
      <c r="A804" s="4"/>
    </row>
    <row r="805" spans="1:1" ht="15.5">
      <c r="A805" s="4"/>
    </row>
    <row r="806" spans="1:1" ht="15.5">
      <c r="A806" s="4"/>
    </row>
    <row r="807" spans="1:1" ht="15.5">
      <c r="A807" s="4"/>
    </row>
    <row r="808" spans="1:1" ht="15.5">
      <c r="A808" s="4"/>
    </row>
    <row r="809" spans="1:1" ht="15.5">
      <c r="A809" s="4"/>
    </row>
    <row r="810" spans="1:1" ht="15.5">
      <c r="A810" s="4"/>
    </row>
    <row r="811" spans="1:1" ht="15.5">
      <c r="A811" s="4"/>
    </row>
    <row r="812" spans="1:1" ht="15.5">
      <c r="A812" s="4"/>
    </row>
    <row r="813" spans="1:1" ht="15.5">
      <c r="A813" s="4"/>
    </row>
    <row r="814" spans="1:1" ht="15.5">
      <c r="A814" s="4"/>
    </row>
    <row r="815" spans="1:1" ht="15.5">
      <c r="A815" s="4"/>
    </row>
    <row r="816" spans="1:1" ht="15.5">
      <c r="A816" s="4"/>
    </row>
    <row r="817" spans="1:1" ht="15.5">
      <c r="A817" s="4"/>
    </row>
    <row r="818" spans="1:1" ht="15.5">
      <c r="A818" s="4"/>
    </row>
    <row r="819" spans="1:1" ht="15.5">
      <c r="A819" s="4"/>
    </row>
    <row r="820" spans="1:1" ht="15.5">
      <c r="A820" s="4"/>
    </row>
    <row r="821" spans="1:1" ht="15.5">
      <c r="A821" s="4"/>
    </row>
    <row r="822" spans="1:1" ht="15.5">
      <c r="A822" s="4"/>
    </row>
    <row r="823" spans="1:1" ht="15.5">
      <c r="A823" s="4"/>
    </row>
    <row r="824" spans="1:1" ht="15.5">
      <c r="A824" s="4"/>
    </row>
    <row r="825" spans="1:1" ht="15.5">
      <c r="A825" s="4"/>
    </row>
    <row r="826" spans="1:1" ht="15.5">
      <c r="A826" s="4"/>
    </row>
    <row r="827" spans="1:1" ht="15.5">
      <c r="A827" s="4"/>
    </row>
    <row r="828" spans="1:1" ht="15.5">
      <c r="A828" s="4"/>
    </row>
    <row r="829" spans="1:1" ht="15.5">
      <c r="A829" s="4"/>
    </row>
    <row r="830" spans="1:1" ht="15.5">
      <c r="A830" s="4"/>
    </row>
    <row r="831" spans="1:1" ht="15.5">
      <c r="A831" s="4"/>
    </row>
    <row r="832" spans="1:1" ht="15.5">
      <c r="A832" s="4"/>
    </row>
    <row r="833" spans="1:1" ht="15.5">
      <c r="A833" s="4"/>
    </row>
    <row r="834" spans="1:1" ht="15.5">
      <c r="A834" s="4"/>
    </row>
    <row r="835" spans="1:1" ht="15.5">
      <c r="A835" s="4"/>
    </row>
    <row r="836" spans="1:1" ht="15.5">
      <c r="A836" s="4"/>
    </row>
    <row r="837" spans="1:1" ht="15.5">
      <c r="A837" s="4"/>
    </row>
    <row r="838" spans="1:1" ht="15.5">
      <c r="A838" s="4"/>
    </row>
    <row r="839" spans="1:1" ht="15.5">
      <c r="A839" s="4"/>
    </row>
    <row r="840" spans="1:1" ht="15.5">
      <c r="A840" s="4"/>
    </row>
    <row r="841" spans="1:1" ht="15.5">
      <c r="A841" s="4"/>
    </row>
    <row r="842" spans="1:1" ht="15.5">
      <c r="A842" s="4"/>
    </row>
    <row r="843" spans="1:1" ht="15.5">
      <c r="A843" s="4"/>
    </row>
    <row r="844" spans="1:1" ht="15.5">
      <c r="A844" s="4"/>
    </row>
    <row r="845" spans="1:1" ht="15.5">
      <c r="A845" s="4"/>
    </row>
    <row r="846" spans="1:1" ht="15.5">
      <c r="A846" s="4"/>
    </row>
    <row r="847" spans="1:1" ht="15.5">
      <c r="A847" s="4"/>
    </row>
    <row r="848" spans="1:1" ht="15.5">
      <c r="A848" s="4"/>
    </row>
    <row r="849" spans="1:1" ht="15.5">
      <c r="A849" s="4"/>
    </row>
    <row r="850" spans="1:1" ht="15.5">
      <c r="A850" s="4"/>
    </row>
    <row r="851" spans="1:1" ht="15.5">
      <c r="A851" s="4"/>
    </row>
    <row r="852" spans="1:1" ht="15.5">
      <c r="A852" s="4"/>
    </row>
    <row r="853" spans="1:1" ht="15.5">
      <c r="A853" s="4"/>
    </row>
    <row r="854" spans="1:1" ht="15.5">
      <c r="A854" s="4"/>
    </row>
    <row r="855" spans="1:1" ht="15.5">
      <c r="A855" s="4"/>
    </row>
    <row r="856" spans="1:1" ht="15.5">
      <c r="A856" s="4"/>
    </row>
    <row r="857" spans="1:1" ht="15.5">
      <c r="A857" s="4"/>
    </row>
    <row r="858" spans="1:1" ht="15.5">
      <c r="A858" s="4"/>
    </row>
    <row r="859" spans="1:1" ht="15.5">
      <c r="A859" s="4"/>
    </row>
    <row r="860" spans="1:1" ht="15.5">
      <c r="A860" s="4"/>
    </row>
    <row r="861" spans="1:1" ht="15.5">
      <c r="A861" s="4"/>
    </row>
    <row r="862" spans="1:1" ht="15.5">
      <c r="A862" s="4"/>
    </row>
    <row r="863" spans="1:1" ht="15.5">
      <c r="A863" s="4"/>
    </row>
    <row r="864" spans="1:1" ht="15.5">
      <c r="A864" s="4"/>
    </row>
    <row r="865" spans="1:1" ht="15.5">
      <c r="A865" s="4"/>
    </row>
    <row r="866" spans="1:1" ht="15.5">
      <c r="A866" s="4"/>
    </row>
    <row r="867" spans="1:1" ht="15.5">
      <c r="A867" s="4"/>
    </row>
    <row r="868" spans="1:1" ht="15.5">
      <c r="A868" s="4"/>
    </row>
    <row r="869" spans="1:1" ht="15.5">
      <c r="A869" s="4"/>
    </row>
    <row r="870" spans="1:1" ht="15.5">
      <c r="A870" s="4"/>
    </row>
    <row r="871" spans="1:1" ht="15.5">
      <c r="A871" s="4"/>
    </row>
    <row r="872" spans="1:1" ht="15.5">
      <c r="A872" s="4"/>
    </row>
    <row r="873" spans="1:1" ht="15.5">
      <c r="A873" s="4"/>
    </row>
    <row r="874" spans="1:1" ht="15.5">
      <c r="A874" s="4"/>
    </row>
    <row r="875" spans="1:1" ht="15.5">
      <c r="A875" s="4"/>
    </row>
    <row r="876" spans="1:1" ht="15.5">
      <c r="A876" s="4"/>
    </row>
    <row r="877" spans="1:1" ht="15.5">
      <c r="A877" s="4"/>
    </row>
    <row r="878" spans="1:1" ht="15.5">
      <c r="A878" s="4"/>
    </row>
    <row r="879" spans="1:1" ht="15.5">
      <c r="A879" s="4"/>
    </row>
    <row r="880" spans="1:1" ht="15.5">
      <c r="A880" s="4"/>
    </row>
    <row r="881" spans="1:1" ht="15.5">
      <c r="A881" s="4"/>
    </row>
    <row r="882" spans="1:1" ht="15.5">
      <c r="A882" s="4"/>
    </row>
    <row r="883" spans="1:1" ht="15.5">
      <c r="A883" s="4"/>
    </row>
    <row r="884" spans="1:1" ht="15.5">
      <c r="A884" s="4"/>
    </row>
    <row r="885" spans="1:1" ht="15.5">
      <c r="A885" s="4"/>
    </row>
    <row r="886" spans="1:1" ht="15.5">
      <c r="A886" s="4"/>
    </row>
    <row r="887" spans="1:1" ht="15.5">
      <c r="A887" s="4"/>
    </row>
    <row r="888" spans="1:1" ht="15.5">
      <c r="A888" s="4"/>
    </row>
    <row r="889" spans="1:1" ht="15.5">
      <c r="A889" s="4"/>
    </row>
    <row r="890" spans="1:1" ht="15.5">
      <c r="A890" s="4"/>
    </row>
    <row r="891" spans="1:1" ht="15.5">
      <c r="A891" s="4"/>
    </row>
    <row r="892" spans="1:1" ht="15.5">
      <c r="A892" s="4"/>
    </row>
    <row r="893" spans="1:1" ht="15.5">
      <c r="A893" s="4"/>
    </row>
    <row r="894" spans="1:1" ht="15.5">
      <c r="A894" s="4"/>
    </row>
    <row r="895" spans="1:1" ht="15.5">
      <c r="A895" s="4"/>
    </row>
    <row r="896" spans="1:1" ht="15.5">
      <c r="A896" s="4"/>
    </row>
    <row r="897" spans="1:1" ht="15.5">
      <c r="A897" s="4"/>
    </row>
    <row r="898" spans="1:1" ht="15.5">
      <c r="A898" s="4"/>
    </row>
    <row r="899" spans="1:1" ht="15.5">
      <c r="A899" s="4"/>
    </row>
    <row r="900" spans="1:1" ht="15.5">
      <c r="A900" s="4"/>
    </row>
    <row r="901" spans="1:1" ht="15.5">
      <c r="A901" s="4"/>
    </row>
    <row r="902" spans="1:1" ht="15.5">
      <c r="A902" s="4"/>
    </row>
    <row r="903" spans="1:1" ht="15.5">
      <c r="A903" s="4"/>
    </row>
    <row r="904" spans="1:1" ht="15.5">
      <c r="A904" s="4"/>
    </row>
    <row r="905" spans="1:1" ht="15.5">
      <c r="A905" s="4"/>
    </row>
    <row r="906" spans="1:1" ht="15.5">
      <c r="A906" s="4"/>
    </row>
    <row r="907" spans="1:1" ht="15.5">
      <c r="A907" s="4"/>
    </row>
    <row r="908" spans="1:1" ht="15.5">
      <c r="A908" s="4"/>
    </row>
    <row r="909" spans="1:1" ht="15.5">
      <c r="A909" s="4"/>
    </row>
    <row r="910" spans="1:1" ht="15.5">
      <c r="A910" s="4"/>
    </row>
    <row r="911" spans="1:1" ht="15.5">
      <c r="A911" s="4"/>
    </row>
    <row r="912" spans="1:1" ht="15.5">
      <c r="A912" s="4"/>
    </row>
    <row r="913" spans="1:1" ht="15.5">
      <c r="A913" s="4"/>
    </row>
    <row r="914" spans="1:1" ht="15.5">
      <c r="A914" s="4"/>
    </row>
    <row r="915" spans="1:1" ht="15.5">
      <c r="A915" s="4"/>
    </row>
    <row r="916" spans="1:1" ht="15.5">
      <c r="A916" s="4"/>
    </row>
    <row r="917" spans="1:1" ht="15.5">
      <c r="A917" s="4"/>
    </row>
    <row r="918" spans="1:1" ht="15.5">
      <c r="A918" s="4"/>
    </row>
    <row r="919" spans="1:1" ht="15.5">
      <c r="A919" s="4"/>
    </row>
    <row r="920" spans="1:1" ht="15.5">
      <c r="A920" s="4"/>
    </row>
    <row r="921" spans="1:1" ht="15.5">
      <c r="A921" s="4"/>
    </row>
    <row r="922" spans="1:1" ht="15.5">
      <c r="A922" s="4"/>
    </row>
    <row r="923" spans="1:1" ht="15.5">
      <c r="A923" s="4"/>
    </row>
    <row r="924" spans="1:1" ht="15.5">
      <c r="A924" s="4"/>
    </row>
    <row r="925" spans="1:1" ht="15.5">
      <c r="A925" s="4"/>
    </row>
    <row r="926" spans="1:1" ht="15.5">
      <c r="A926" s="4"/>
    </row>
    <row r="927" spans="1:1" ht="15.5">
      <c r="A927" s="4"/>
    </row>
    <row r="928" spans="1:1" ht="15.5">
      <c r="A928" s="4"/>
    </row>
    <row r="929" spans="1:1" ht="15.5">
      <c r="A929" s="4"/>
    </row>
    <row r="930" spans="1:1" ht="15.5">
      <c r="A930" s="4"/>
    </row>
    <row r="931" spans="1:1" ht="15.5">
      <c r="A931" s="4"/>
    </row>
    <row r="932" spans="1:1" ht="15.5">
      <c r="A932" s="4"/>
    </row>
    <row r="933" spans="1:1" ht="15.5">
      <c r="A933" s="4"/>
    </row>
    <row r="934" spans="1:1" ht="15.5">
      <c r="A934" s="4"/>
    </row>
    <row r="935" spans="1:1" ht="15.5">
      <c r="A935" s="4"/>
    </row>
    <row r="936" spans="1:1" ht="15.5">
      <c r="A936" s="4"/>
    </row>
    <row r="937" spans="1:1" ht="15.5">
      <c r="A937" s="4"/>
    </row>
    <row r="938" spans="1:1" ht="15.5">
      <c r="A938" s="4"/>
    </row>
    <row r="939" spans="1:1" ht="15.5">
      <c r="A939" s="4"/>
    </row>
    <row r="940" spans="1:1" ht="15.5">
      <c r="A940" s="4"/>
    </row>
    <row r="941" spans="1:1" ht="15.5">
      <c r="A941" s="4"/>
    </row>
    <row r="942" spans="1:1" ht="15.5">
      <c r="A942" s="4"/>
    </row>
    <row r="943" spans="1:1" ht="15.5">
      <c r="A943" s="4"/>
    </row>
    <row r="944" spans="1:1" ht="15.5">
      <c r="A944" s="4"/>
    </row>
    <row r="945" spans="1:1" ht="15.5">
      <c r="A945" s="4"/>
    </row>
    <row r="946" spans="1:1" ht="15.5">
      <c r="A946" s="4"/>
    </row>
    <row r="947" spans="1:1" ht="15.5">
      <c r="A947" s="4"/>
    </row>
    <row r="948" spans="1:1" ht="15.5">
      <c r="A948" s="4"/>
    </row>
    <row r="949" spans="1:1" ht="15.5">
      <c r="A949" s="4"/>
    </row>
    <row r="950" spans="1:1" ht="15.5">
      <c r="A950" s="4"/>
    </row>
    <row r="951" spans="1:1" ht="15.5">
      <c r="A951" s="4"/>
    </row>
    <row r="952" spans="1:1" ht="15.5">
      <c r="A952" s="4"/>
    </row>
    <row r="953" spans="1:1" ht="15.5">
      <c r="A953" s="4"/>
    </row>
    <row r="954" spans="1:1" ht="15.5">
      <c r="A954" s="4"/>
    </row>
    <row r="955" spans="1:1" ht="15.5">
      <c r="A955" s="4"/>
    </row>
    <row r="956" spans="1:1" ht="15.5">
      <c r="A956" s="4"/>
    </row>
    <row r="957" spans="1:1" ht="15.5">
      <c r="A957" s="4"/>
    </row>
    <row r="958" spans="1:1" ht="15.5">
      <c r="A958" s="4"/>
    </row>
    <row r="959" spans="1:1" ht="15.5">
      <c r="A959" s="4"/>
    </row>
    <row r="960" spans="1:1" ht="15.5">
      <c r="A960" s="4"/>
    </row>
    <row r="961" spans="1:1" ht="15.5">
      <c r="A961" s="4"/>
    </row>
    <row r="962" spans="1:1" ht="15.5">
      <c r="A962" s="4"/>
    </row>
    <row r="963" spans="1:1" ht="15.5">
      <c r="A963" s="4"/>
    </row>
    <row r="964" spans="1:1" ht="15.5">
      <c r="A964" s="4"/>
    </row>
    <row r="965" spans="1:1" ht="15.5">
      <c r="A965" s="4"/>
    </row>
    <row r="966" spans="1:1" ht="15.5">
      <c r="A966" s="4"/>
    </row>
    <row r="967" spans="1:1" ht="15.5">
      <c r="A967" s="4"/>
    </row>
    <row r="968" spans="1:1" ht="15.5">
      <c r="A968" s="4"/>
    </row>
    <row r="969" spans="1:1" ht="15.5">
      <c r="A969" s="4"/>
    </row>
    <row r="970" spans="1:1" ht="15.5">
      <c r="A970" s="4"/>
    </row>
    <row r="971" spans="1:1" ht="15.5">
      <c r="A971" s="4"/>
    </row>
    <row r="972" spans="1:1" ht="15.5">
      <c r="A972" s="4"/>
    </row>
    <row r="973" spans="1:1" ht="15.5">
      <c r="A973" s="4"/>
    </row>
    <row r="974" spans="1:1" ht="15.5">
      <c r="A974" s="4"/>
    </row>
    <row r="975" spans="1:1" ht="15.5">
      <c r="A975" s="4"/>
    </row>
    <row r="976" spans="1:1" ht="15.5">
      <c r="A976" s="4"/>
    </row>
    <row r="977" spans="1:1" ht="15.5">
      <c r="A977" s="4"/>
    </row>
    <row r="978" spans="1:1" ht="15.5">
      <c r="A978" s="4"/>
    </row>
    <row r="979" spans="1:1" ht="15.5">
      <c r="A979" s="4"/>
    </row>
    <row r="980" spans="1:1" ht="15.5">
      <c r="A980" s="4"/>
    </row>
    <row r="981" spans="1:1" ht="15.5">
      <c r="A981" s="4"/>
    </row>
    <row r="982" spans="1:1" ht="15.5">
      <c r="A982" s="4"/>
    </row>
    <row r="983" spans="1:1" ht="15.5">
      <c r="A983" s="4"/>
    </row>
    <row r="984" spans="1:1" ht="15.5">
      <c r="A984" s="4"/>
    </row>
    <row r="985" spans="1:1" ht="15.5">
      <c r="A985" s="4"/>
    </row>
    <row r="986" spans="1:1" ht="15.5">
      <c r="A986" s="4"/>
    </row>
    <row r="987" spans="1:1" ht="15.5">
      <c r="A987" s="4"/>
    </row>
    <row r="988" spans="1:1" ht="15.5">
      <c r="A988" s="4"/>
    </row>
    <row r="989" spans="1:1" ht="15.5">
      <c r="A989" s="4"/>
    </row>
    <row r="990" spans="1:1" ht="15.5">
      <c r="A990" s="4"/>
    </row>
    <row r="991" spans="1:1" ht="15.5">
      <c r="A991" s="4"/>
    </row>
    <row r="992" spans="1:1" ht="15.5">
      <c r="A992" s="4"/>
    </row>
    <row r="993" spans="1:1" ht="15.5">
      <c r="A993" s="4"/>
    </row>
    <row r="994" spans="1:1" ht="15.5">
      <c r="A994" s="4"/>
    </row>
    <row r="995" spans="1:1" ht="15.5">
      <c r="A995" s="4"/>
    </row>
    <row r="996" spans="1:1" ht="15.5">
      <c r="A996" s="4"/>
    </row>
    <row r="997" spans="1:1" ht="15.5">
      <c r="A997" s="4"/>
    </row>
    <row r="998" spans="1:1" ht="15.5">
      <c r="A998" s="4"/>
    </row>
  </sheetData>
  <phoneticPr fontId="1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26"/>
  <sheetViews>
    <sheetView workbookViewId="0"/>
  </sheetViews>
  <sheetFormatPr defaultColWidth="12.6328125" defaultRowHeight="15.75" customHeight="1"/>
  <cols>
    <col min="1" max="1" width="3.7265625" customWidth="1"/>
    <col min="2" max="2" width="9.90625" customWidth="1"/>
    <col min="3" max="3" width="13.26953125" customWidth="1"/>
    <col min="4" max="4" width="16.7265625" customWidth="1"/>
    <col min="5" max="5" width="61.08984375" customWidth="1"/>
  </cols>
  <sheetData>
    <row r="1" spans="1:7" ht="15.75" customHeight="1">
      <c r="A1" s="1" t="s">
        <v>25</v>
      </c>
      <c r="B1" s="1" t="s">
        <v>26</v>
      </c>
      <c r="C1" s="1" t="s">
        <v>27</v>
      </c>
      <c r="D1" s="1" t="s">
        <v>28</v>
      </c>
      <c r="E1" s="1" t="s">
        <v>29</v>
      </c>
      <c r="F1" s="1" t="s">
        <v>30</v>
      </c>
      <c r="G1" s="1" t="s">
        <v>31</v>
      </c>
    </row>
    <row r="2" spans="1:7" ht="15.75" customHeight="1">
      <c r="A2" s="1">
        <v>1</v>
      </c>
      <c r="B2" s="1" t="s">
        <v>32</v>
      </c>
      <c r="C2" s="1" t="s">
        <v>33</v>
      </c>
      <c r="D2" s="1" t="s">
        <v>34</v>
      </c>
      <c r="E2" s="1" t="s">
        <v>35</v>
      </c>
      <c r="F2" s="1" t="s">
        <v>36</v>
      </c>
      <c r="G2" s="1" t="s">
        <v>37</v>
      </c>
    </row>
    <row r="3" spans="1:7" ht="15.75" customHeight="1">
      <c r="A3" s="1">
        <v>2</v>
      </c>
      <c r="B3" s="1" t="s">
        <v>32</v>
      </c>
      <c r="C3" s="1" t="s">
        <v>33</v>
      </c>
      <c r="D3" s="1" t="s">
        <v>38</v>
      </c>
      <c r="E3" s="1" t="s">
        <v>39</v>
      </c>
      <c r="F3" s="1" t="s">
        <v>36</v>
      </c>
      <c r="G3" s="1" t="s">
        <v>40</v>
      </c>
    </row>
    <row r="4" spans="1:7" ht="15.75" customHeight="1">
      <c r="A4" s="1">
        <v>3</v>
      </c>
      <c r="B4" s="1" t="s">
        <v>41</v>
      </c>
      <c r="C4" s="1" t="s">
        <v>42</v>
      </c>
      <c r="D4" s="1" t="s">
        <v>43</v>
      </c>
      <c r="E4" s="1" t="s">
        <v>44</v>
      </c>
    </row>
    <row r="5" spans="1:7" ht="15.75" customHeight="1">
      <c r="A5" s="1">
        <v>4</v>
      </c>
      <c r="B5" s="1" t="s">
        <v>41</v>
      </c>
      <c r="C5" s="1" t="s">
        <v>42</v>
      </c>
      <c r="D5" s="1" t="s">
        <v>45</v>
      </c>
      <c r="E5" s="1" t="s">
        <v>46</v>
      </c>
    </row>
    <row r="6" spans="1:7" ht="15.75" customHeight="1">
      <c r="A6" s="1">
        <v>5</v>
      </c>
      <c r="B6" s="1" t="s">
        <v>41</v>
      </c>
      <c r="C6" s="1" t="s">
        <v>33</v>
      </c>
      <c r="D6" s="1" t="s">
        <v>47</v>
      </c>
      <c r="E6" s="1" t="s">
        <v>48</v>
      </c>
      <c r="F6" s="1" t="s">
        <v>49</v>
      </c>
      <c r="G6" s="1" t="s">
        <v>50</v>
      </c>
    </row>
    <row r="7" spans="1:7" ht="15.75" customHeight="1">
      <c r="A7" s="1">
        <v>6</v>
      </c>
    </row>
    <row r="8" spans="1:7" ht="15.75" customHeight="1">
      <c r="A8" s="1">
        <v>7</v>
      </c>
    </row>
    <row r="9" spans="1:7" ht="15.75" customHeight="1">
      <c r="A9" s="1">
        <v>8</v>
      </c>
    </row>
    <row r="10" spans="1:7" ht="15.75" customHeight="1">
      <c r="A10" s="1">
        <v>9</v>
      </c>
    </row>
    <row r="11" spans="1:7" ht="15.75" customHeight="1">
      <c r="A11" s="1">
        <v>10</v>
      </c>
    </row>
    <row r="12" spans="1:7" ht="15.75" customHeight="1">
      <c r="A12" s="1">
        <v>11</v>
      </c>
    </row>
    <row r="13" spans="1:7" ht="15.75" customHeight="1">
      <c r="A13" s="1">
        <v>12</v>
      </c>
    </row>
    <row r="14" spans="1:7" ht="15.75" customHeight="1">
      <c r="A14" s="1">
        <v>13</v>
      </c>
    </row>
    <row r="15" spans="1:7" ht="15.75" customHeight="1">
      <c r="A15" s="1">
        <v>14</v>
      </c>
    </row>
    <row r="16" spans="1:7" ht="15.75" customHeight="1">
      <c r="A16" s="1">
        <v>15</v>
      </c>
    </row>
    <row r="17" spans="1:1" ht="15.75" customHeight="1">
      <c r="A17" s="1">
        <v>16</v>
      </c>
    </row>
    <row r="18" spans="1:1" ht="15.75" customHeight="1">
      <c r="A18" s="1">
        <v>17</v>
      </c>
    </row>
    <row r="19" spans="1:1" ht="15.75" customHeight="1">
      <c r="A19" s="1">
        <v>18</v>
      </c>
    </row>
    <row r="20" spans="1:1" ht="15.75" customHeight="1">
      <c r="A20" s="1">
        <v>19</v>
      </c>
    </row>
    <row r="21" spans="1:1" ht="15.75" customHeight="1">
      <c r="A21" s="1">
        <v>20</v>
      </c>
    </row>
    <row r="22" spans="1:1" ht="15.75" customHeight="1">
      <c r="A22" s="1">
        <v>21</v>
      </c>
    </row>
    <row r="23" spans="1:1" ht="15.75" customHeight="1">
      <c r="A23" s="1">
        <v>22</v>
      </c>
    </row>
    <row r="24" spans="1:1" ht="15.75" customHeight="1">
      <c r="A24" s="1">
        <v>23</v>
      </c>
    </row>
    <row r="25" spans="1:1" ht="15.75" customHeight="1">
      <c r="A25" s="1">
        <v>24</v>
      </c>
    </row>
    <row r="26" spans="1:1" ht="15.75" customHeight="1">
      <c r="A26" s="1">
        <v>25</v>
      </c>
    </row>
  </sheetData>
  <phoneticPr fontId="1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J1000"/>
  <sheetViews>
    <sheetView workbookViewId="0">
      <pane ySplit="1" topLeftCell="A2" activePane="bottomLeft" state="frozen"/>
      <selection pane="bottomLeft" activeCell="D46" sqref="D46"/>
    </sheetView>
  </sheetViews>
  <sheetFormatPr defaultColWidth="12.6328125" defaultRowHeight="15.75" customHeight="1"/>
  <cols>
    <col min="1" max="1" width="2.90625" customWidth="1"/>
    <col min="4" max="4" width="14" customWidth="1"/>
    <col min="8" max="8" width="44" customWidth="1"/>
  </cols>
  <sheetData>
    <row r="1" spans="1:36" ht="13">
      <c r="A1" s="5" t="s">
        <v>25</v>
      </c>
      <c r="B1" s="5" t="s">
        <v>26</v>
      </c>
      <c r="C1" s="5" t="s">
        <v>27</v>
      </c>
      <c r="D1" s="5" t="s">
        <v>28</v>
      </c>
      <c r="E1" s="5" t="s">
        <v>29</v>
      </c>
      <c r="F1" s="5" t="s">
        <v>30</v>
      </c>
      <c r="G1" s="5" t="s">
        <v>31</v>
      </c>
      <c r="H1" s="5" t="s">
        <v>51</v>
      </c>
    </row>
    <row r="2" spans="1:36" ht="15.75" customHeight="1">
      <c r="A2" s="6">
        <v>1</v>
      </c>
      <c r="B2" s="6" t="s">
        <v>32</v>
      </c>
      <c r="C2" s="6" t="s">
        <v>33</v>
      </c>
      <c r="D2" s="6" t="s">
        <v>34</v>
      </c>
      <c r="E2" s="7" t="s">
        <v>52</v>
      </c>
      <c r="F2" s="6" t="s">
        <v>36</v>
      </c>
      <c r="G2" s="6" t="s">
        <v>37</v>
      </c>
      <c r="H2" s="7"/>
    </row>
    <row r="3" spans="1:36" ht="15.75" customHeight="1">
      <c r="A3" s="6">
        <v>2</v>
      </c>
      <c r="B3" s="6" t="s">
        <v>32</v>
      </c>
      <c r="C3" s="6" t="s">
        <v>33</v>
      </c>
      <c r="D3" s="6" t="s">
        <v>34</v>
      </c>
      <c r="E3" s="7" t="s">
        <v>53</v>
      </c>
      <c r="F3" s="6" t="s">
        <v>36</v>
      </c>
      <c r="G3" s="6" t="s">
        <v>37</v>
      </c>
      <c r="H3" s="7"/>
    </row>
    <row r="4" spans="1:36" ht="15.75" customHeight="1">
      <c r="A4" s="6">
        <v>3</v>
      </c>
      <c r="B4" s="6" t="s">
        <v>32</v>
      </c>
      <c r="C4" s="6" t="s">
        <v>33</v>
      </c>
      <c r="D4" s="6" t="s">
        <v>34</v>
      </c>
      <c r="E4" s="7" t="s">
        <v>54</v>
      </c>
      <c r="F4" s="6" t="s">
        <v>36</v>
      </c>
      <c r="G4" s="6" t="s">
        <v>37</v>
      </c>
      <c r="H4" s="7"/>
    </row>
    <row r="5" spans="1:36" ht="15.75" customHeight="1">
      <c r="A5" s="6">
        <v>4</v>
      </c>
      <c r="B5" s="6" t="s">
        <v>32</v>
      </c>
      <c r="C5" s="6" t="s">
        <v>33</v>
      </c>
      <c r="D5" s="6" t="s">
        <v>34</v>
      </c>
      <c r="E5" s="7" t="s">
        <v>55</v>
      </c>
      <c r="F5" s="6" t="s">
        <v>36</v>
      </c>
      <c r="G5" s="6" t="s">
        <v>37</v>
      </c>
      <c r="H5" s="7"/>
    </row>
    <row r="6" spans="1:36" ht="15.75" customHeight="1">
      <c r="A6" s="6">
        <v>5</v>
      </c>
      <c r="B6" s="6" t="s">
        <v>32</v>
      </c>
      <c r="C6" s="6" t="s">
        <v>33</v>
      </c>
      <c r="D6" s="6" t="s">
        <v>34</v>
      </c>
      <c r="E6" s="7" t="s">
        <v>56</v>
      </c>
      <c r="F6" s="6" t="s">
        <v>36</v>
      </c>
      <c r="G6" s="6" t="s">
        <v>37</v>
      </c>
      <c r="H6" s="7"/>
    </row>
    <row r="7" spans="1:36" ht="15.75" customHeight="1">
      <c r="A7" s="6">
        <v>6</v>
      </c>
      <c r="B7" s="6" t="s">
        <v>32</v>
      </c>
      <c r="C7" s="6" t="s">
        <v>33</v>
      </c>
      <c r="D7" s="6" t="s">
        <v>34</v>
      </c>
      <c r="E7" s="7" t="s">
        <v>54</v>
      </c>
      <c r="F7" s="6" t="s">
        <v>36</v>
      </c>
      <c r="G7" s="6" t="s">
        <v>37</v>
      </c>
      <c r="H7" s="7"/>
      <c r="I7" s="8" t="s">
        <v>57</v>
      </c>
      <c r="J7" s="8" t="s">
        <v>57</v>
      </c>
      <c r="K7" s="8" t="s">
        <v>57</v>
      </c>
      <c r="L7" s="8" t="s">
        <v>57</v>
      </c>
      <c r="M7" s="8" t="s">
        <v>57</v>
      </c>
      <c r="N7" s="8" t="s">
        <v>57</v>
      </c>
      <c r="O7" s="8" t="s">
        <v>57</v>
      </c>
      <c r="P7" s="8" t="s">
        <v>57</v>
      </c>
      <c r="Q7" s="8" t="s">
        <v>57</v>
      </c>
      <c r="R7" s="8" t="s">
        <v>57</v>
      </c>
      <c r="S7" s="8" t="s">
        <v>57</v>
      </c>
      <c r="T7" s="8" t="s">
        <v>57</v>
      </c>
      <c r="U7" s="8" t="s">
        <v>57</v>
      </c>
      <c r="V7" s="8" t="s">
        <v>57</v>
      </c>
      <c r="W7" s="8" t="s">
        <v>57</v>
      </c>
      <c r="X7" s="8" t="s">
        <v>57</v>
      </c>
      <c r="Y7" s="8" t="s">
        <v>57</v>
      </c>
      <c r="Z7" s="8" t="s">
        <v>57</v>
      </c>
      <c r="AA7" s="8" t="s">
        <v>57</v>
      </c>
      <c r="AB7" s="8" t="s">
        <v>57</v>
      </c>
      <c r="AC7" s="8" t="s">
        <v>57</v>
      </c>
      <c r="AD7" s="8" t="s">
        <v>57</v>
      </c>
      <c r="AE7" s="8" t="s">
        <v>57</v>
      </c>
      <c r="AF7" s="8" t="s">
        <v>57</v>
      </c>
      <c r="AG7" s="8" t="s">
        <v>57</v>
      </c>
      <c r="AH7" s="8" t="s">
        <v>57</v>
      </c>
      <c r="AI7" s="8" t="s">
        <v>57</v>
      </c>
      <c r="AJ7" s="8" t="s">
        <v>57</v>
      </c>
    </row>
    <row r="8" spans="1:36" ht="15.75" customHeight="1">
      <c r="A8" s="6">
        <v>7</v>
      </c>
      <c r="B8" s="6" t="s">
        <v>32</v>
      </c>
      <c r="C8" s="6" t="s">
        <v>33</v>
      </c>
      <c r="D8" s="6" t="s">
        <v>34</v>
      </c>
      <c r="E8" s="7" t="s">
        <v>58</v>
      </c>
      <c r="F8" s="6" t="s">
        <v>36</v>
      </c>
      <c r="G8" s="6" t="s">
        <v>37</v>
      </c>
      <c r="H8" s="7"/>
      <c r="I8" s="8" t="s">
        <v>57</v>
      </c>
      <c r="J8" s="8" t="s">
        <v>57</v>
      </c>
      <c r="K8" s="8" t="s">
        <v>57</v>
      </c>
      <c r="L8" s="8" t="s">
        <v>57</v>
      </c>
      <c r="M8" s="8" t="s">
        <v>57</v>
      </c>
      <c r="N8" s="8" t="s">
        <v>57</v>
      </c>
      <c r="O8" s="8" t="s">
        <v>57</v>
      </c>
      <c r="P8" s="8" t="s">
        <v>57</v>
      </c>
      <c r="Q8" s="8" t="s">
        <v>57</v>
      </c>
      <c r="R8" s="8" t="s">
        <v>57</v>
      </c>
      <c r="S8" s="8" t="s">
        <v>57</v>
      </c>
      <c r="T8" s="8" t="s">
        <v>57</v>
      </c>
      <c r="U8" s="8" t="s">
        <v>57</v>
      </c>
      <c r="V8" s="8" t="s">
        <v>57</v>
      </c>
      <c r="W8" s="8" t="s">
        <v>57</v>
      </c>
      <c r="X8" s="8" t="s">
        <v>57</v>
      </c>
      <c r="Y8" s="8" t="s">
        <v>57</v>
      </c>
      <c r="Z8" s="8" t="s">
        <v>57</v>
      </c>
      <c r="AA8" s="8" t="s">
        <v>57</v>
      </c>
      <c r="AB8" s="8" t="s">
        <v>57</v>
      </c>
      <c r="AC8" s="8" t="s">
        <v>57</v>
      </c>
      <c r="AD8" s="8" t="s">
        <v>57</v>
      </c>
      <c r="AE8" s="8" t="s">
        <v>57</v>
      </c>
      <c r="AF8" s="8" t="s">
        <v>57</v>
      </c>
      <c r="AG8" s="8" t="s">
        <v>57</v>
      </c>
      <c r="AH8" s="8" t="s">
        <v>57</v>
      </c>
      <c r="AI8" s="8" t="s">
        <v>57</v>
      </c>
      <c r="AJ8" s="8" t="s">
        <v>57</v>
      </c>
    </row>
    <row r="9" spans="1:36" ht="15.75" customHeight="1">
      <c r="A9" s="6">
        <v>8</v>
      </c>
      <c r="B9" s="6" t="s">
        <v>32</v>
      </c>
      <c r="C9" s="6" t="s">
        <v>33</v>
      </c>
      <c r="D9" s="6" t="s">
        <v>34</v>
      </c>
      <c r="E9" s="7" t="s">
        <v>59</v>
      </c>
      <c r="F9" s="6" t="s">
        <v>36</v>
      </c>
      <c r="G9" s="6" t="s">
        <v>37</v>
      </c>
      <c r="H9" s="7"/>
      <c r="I9" s="8" t="s">
        <v>57</v>
      </c>
      <c r="J9" s="8" t="s">
        <v>57</v>
      </c>
      <c r="K9" s="8" t="s">
        <v>57</v>
      </c>
      <c r="L9" s="8" t="s">
        <v>57</v>
      </c>
      <c r="M9" s="8" t="s">
        <v>57</v>
      </c>
      <c r="N9" s="8" t="s">
        <v>57</v>
      </c>
      <c r="O9" s="8" t="s">
        <v>57</v>
      </c>
      <c r="P9" s="8" t="s">
        <v>57</v>
      </c>
      <c r="Q9" s="8" t="s">
        <v>57</v>
      </c>
      <c r="R9" s="8" t="s">
        <v>57</v>
      </c>
      <c r="S9" s="8" t="s">
        <v>57</v>
      </c>
      <c r="T9" s="8" t="s">
        <v>57</v>
      </c>
      <c r="U9" s="8" t="s">
        <v>57</v>
      </c>
      <c r="V9" s="8" t="s">
        <v>57</v>
      </c>
      <c r="W9" s="8" t="s">
        <v>57</v>
      </c>
      <c r="X9" s="8" t="s">
        <v>57</v>
      </c>
      <c r="Y9" s="8" t="s">
        <v>57</v>
      </c>
      <c r="Z9" s="8" t="s">
        <v>57</v>
      </c>
      <c r="AA9" s="8" t="s">
        <v>57</v>
      </c>
      <c r="AB9" s="8" t="s">
        <v>57</v>
      </c>
      <c r="AC9" s="8" t="s">
        <v>57</v>
      </c>
      <c r="AD9" s="8" t="s">
        <v>57</v>
      </c>
      <c r="AE9" s="8" t="s">
        <v>57</v>
      </c>
      <c r="AF9" s="8" t="s">
        <v>57</v>
      </c>
      <c r="AG9" s="8" t="s">
        <v>57</v>
      </c>
      <c r="AH9" s="8" t="s">
        <v>57</v>
      </c>
      <c r="AI9" s="8" t="s">
        <v>57</v>
      </c>
      <c r="AJ9" s="8" t="s">
        <v>57</v>
      </c>
    </row>
    <row r="10" spans="1:36" ht="15.75" customHeight="1">
      <c r="A10" s="6">
        <v>9</v>
      </c>
      <c r="B10" s="6" t="s">
        <v>32</v>
      </c>
      <c r="C10" s="6" t="s">
        <v>33</v>
      </c>
      <c r="D10" s="6" t="s">
        <v>34</v>
      </c>
      <c r="E10" s="7" t="s">
        <v>60</v>
      </c>
      <c r="F10" s="6" t="s">
        <v>36</v>
      </c>
      <c r="G10" s="6" t="s">
        <v>37</v>
      </c>
      <c r="H10" s="7"/>
      <c r="I10" s="8" t="s">
        <v>57</v>
      </c>
      <c r="J10" s="8" t="s">
        <v>57</v>
      </c>
      <c r="K10" s="8" t="s">
        <v>57</v>
      </c>
      <c r="L10" s="8" t="s">
        <v>57</v>
      </c>
      <c r="M10" s="8" t="s">
        <v>57</v>
      </c>
      <c r="N10" s="8" t="s">
        <v>57</v>
      </c>
      <c r="O10" s="8" t="s">
        <v>57</v>
      </c>
      <c r="P10" s="8" t="s">
        <v>57</v>
      </c>
      <c r="Q10" s="8" t="s">
        <v>57</v>
      </c>
      <c r="R10" s="8" t="s">
        <v>57</v>
      </c>
      <c r="S10" s="8" t="s">
        <v>57</v>
      </c>
      <c r="T10" s="8" t="s">
        <v>57</v>
      </c>
      <c r="U10" s="8" t="s">
        <v>57</v>
      </c>
      <c r="V10" s="8" t="s">
        <v>57</v>
      </c>
      <c r="W10" s="8" t="s">
        <v>57</v>
      </c>
      <c r="X10" s="8" t="s">
        <v>57</v>
      </c>
      <c r="Y10" s="8" t="s">
        <v>57</v>
      </c>
      <c r="Z10" s="8" t="s">
        <v>57</v>
      </c>
      <c r="AA10" s="8" t="s">
        <v>57</v>
      </c>
      <c r="AB10" s="8" t="s">
        <v>57</v>
      </c>
      <c r="AC10" s="8" t="s">
        <v>57</v>
      </c>
      <c r="AD10" s="8" t="s">
        <v>57</v>
      </c>
      <c r="AE10" s="8" t="s">
        <v>57</v>
      </c>
      <c r="AF10" s="8" t="s">
        <v>57</v>
      </c>
      <c r="AG10" s="8" t="s">
        <v>57</v>
      </c>
      <c r="AH10" s="8" t="s">
        <v>57</v>
      </c>
      <c r="AI10" s="8" t="s">
        <v>57</v>
      </c>
      <c r="AJ10" s="8" t="s">
        <v>57</v>
      </c>
    </row>
    <row r="11" spans="1:36" ht="15.75" customHeight="1">
      <c r="A11" s="6">
        <v>10</v>
      </c>
      <c r="B11" s="6" t="s">
        <v>32</v>
      </c>
      <c r="C11" s="6" t="s">
        <v>33</v>
      </c>
      <c r="D11" s="6" t="s">
        <v>34</v>
      </c>
      <c r="E11" s="7" t="s">
        <v>61</v>
      </c>
      <c r="F11" s="6" t="s">
        <v>36</v>
      </c>
      <c r="G11" s="6" t="s">
        <v>37</v>
      </c>
      <c r="H11" s="7"/>
      <c r="I11" s="8" t="s">
        <v>57</v>
      </c>
      <c r="J11" s="8" t="s">
        <v>57</v>
      </c>
      <c r="K11" s="8" t="s">
        <v>57</v>
      </c>
      <c r="L11" s="8" t="s">
        <v>57</v>
      </c>
      <c r="M11" s="8" t="s">
        <v>57</v>
      </c>
      <c r="N11" s="8" t="s">
        <v>57</v>
      </c>
      <c r="O11" s="8" t="s">
        <v>57</v>
      </c>
      <c r="P11" s="8" t="s">
        <v>57</v>
      </c>
      <c r="Q11" s="8" t="s">
        <v>57</v>
      </c>
      <c r="R11" s="8" t="s">
        <v>57</v>
      </c>
      <c r="S11" s="8" t="s">
        <v>57</v>
      </c>
      <c r="T11" s="8" t="s">
        <v>57</v>
      </c>
      <c r="U11" s="8" t="s">
        <v>57</v>
      </c>
      <c r="V11" s="8" t="s">
        <v>57</v>
      </c>
      <c r="W11" s="8" t="s">
        <v>57</v>
      </c>
      <c r="X11" s="8" t="s">
        <v>57</v>
      </c>
      <c r="Y11" s="8" t="s">
        <v>57</v>
      </c>
      <c r="Z11" s="8" t="s">
        <v>57</v>
      </c>
      <c r="AA11" s="8" t="s">
        <v>57</v>
      </c>
      <c r="AB11" s="8" t="s">
        <v>57</v>
      </c>
      <c r="AC11" s="8" t="s">
        <v>57</v>
      </c>
      <c r="AD11" s="8" t="s">
        <v>57</v>
      </c>
      <c r="AE11" s="8" t="s">
        <v>57</v>
      </c>
      <c r="AF11" s="8" t="s">
        <v>57</v>
      </c>
      <c r="AG11" s="8" t="s">
        <v>57</v>
      </c>
      <c r="AH11" s="8" t="s">
        <v>57</v>
      </c>
      <c r="AI11" s="8" t="s">
        <v>57</v>
      </c>
      <c r="AJ11" s="8" t="s">
        <v>57</v>
      </c>
    </row>
    <row r="12" spans="1:36" ht="15.75" customHeight="1">
      <c r="A12" s="6">
        <v>11</v>
      </c>
      <c r="B12" s="6" t="s">
        <v>32</v>
      </c>
      <c r="C12" s="6" t="s">
        <v>33</v>
      </c>
      <c r="D12" s="6" t="s">
        <v>34</v>
      </c>
      <c r="E12" s="7" t="s">
        <v>62</v>
      </c>
      <c r="F12" s="6" t="s">
        <v>36</v>
      </c>
      <c r="G12" s="6" t="s">
        <v>37</v>
      </c>
      <c r="H12" s="7"/>
      <c r="I12" s="8" t="s">
        <v>57</v>
      </c>
      <c r="J12" s="8" t="s">
        <v>57</v>
      </c>
      <c r="K12" s="8" t="s">
        <v>57</v>
      </c>
      <c r="L12" s="8" t="s">
        <v>57</v>
      </c>
      <c r="M12" s="8" t="s">
        <v>57</v>
      </c>
      <c r="N12" s="8" t="s">
        <v>57</v>
      </c>
      <c r="O12" s="8" t="s">
        <v>57</v>
      </c>
      <c r="P12" s="8" t="s">
        <v>57</v>
      </c>
      <c r="Q12" s="8" t="s">
        <v>57</v>
      </c>
      <c r="R12" s="8" t="s">
        <v>57</v>
      </c>
      <c r="S12" s="8" t="s">
        <v>57</v>
      </c>
      <c r="T12" s="8" t="s">
        <v>57</v>
      </c>
      <c r="U12" s="8" t="s">
        <v>57</v>
      </c>
      <c r="V12" s="8" t="s">
        <v>57</v>
      </c>
      <c r="W12" s="8" t="s">
        <v>57</v>
      </c>
      <c r="X12" s="8" t="s">
        <v>57</v>
      </c>
      <c r="Y12" s="8" t="s">
        <v>57</v>
      </c>
      <c r="Z12" s="8" t="s">
        <v>57</v>
      </c>
      <c r="AA12" s="8" t="s">
        <v>57</v>
      </c>
      <c r="AB12" s="8" t="s">
        <v>57</v>
      </c>
      <c r="AC12" s="8" t="s">
        <v>57</v>
      </c>
      <c r="AD12" s="8" t="s">
        <v>57</v>
      </c>
      <c r="AE12" s="8" t="s">
        <v>57</v>
      </c>
      <c r="AF12" s="8" t="s">
        <v>57</v>
      </c>
      <c r="AG12" s="8" t="s">
        <v>57</v>
      </c>
      <c r="AH12" s="8" t="s">
        <v>57</v>
      </c>
      <c r="AI12" s="8" t="s">
        <v>57</v>
      </c>
      <c r="AJ12" s="8" t="s">
        <v>57</v>
      </c>
    </row>
    <row r="13" spans="1:36" ht="15.75" customHeight="1">
      <c r="A13" s="6">
        <v>12</v>
      </c>
      <c r="B13" s="6" t="s">
        <v>32</v>
      </c>
      <c r="C13" s="6" t="s">
        <v>33</v>
      </c>
      <c r="D13" s="6" t="s">
        <v>38</v>
      </c>
      <c r="E13" s="7" t="s">
        <v>63</v>
      </c>
      <c r="F13" s="6" t="s">
        <v>36</v>
      </c>
      <c r="G13" s="6" t="s">
        <v>40</v>
      </c>
      <c r="H13" s="7"/>
      <c r="I13" s="8" t="s">
        <v>57</v>
      </c>
      <c r="J13" s="8" t="s">
        <v>57</v>
      </c>
      <c r="K13" s="8" t="s">
        <v>57</v>
      </c>
      <c r="L13" s="8" t="s">
        <v>57</v>
      </c>
      <c r="M13" s="8" t="s">
        <v>57</v>
      </c>
      <c r="N13" s="8" t="s">
        <v>57</v>
      </c>
      <c r="O13" s="8" t="s">
        <v>57</v>
      </c>
      <c r="P13" s="8" t="s">
        <v>57</v>
      </c>
      <c r="Q13" s="8" t="s">
        <v>57</v>
      </c>
      <c r="R13" s="8" t="s">
        <v>57</v>
      </c>
      <c r="S13" s="8" t="s">
        <v>57</v>
      </c>
      <c r="T13" s="8" t="s">
        <v>57</v>
      </c>
      <c r="U13" s="8" t="s">
        <v>57</v>
      </c>
      <c r="V13" s="8" t="s">
        <v>57</v>
      </c>
      <c r="W13" s="8" t="s">
        <v>57</v>
      </c>
      <c r="X13" s="8" t="s">
        <v>57</v>
      </c>
      <c r="Y13" s="8" t="s">
        <v>57</v>
      </c>
      <c r="Z13" s="8" t="s">
        <v>57</v>
      </c>
      <c r="AA13" s="8" t="s">
        <v>57</v>
      </c>
      <c r="AB13" s="8" t="s">
        <v>57</v>
      </c>
      <c r="AC13" s="8" t="s">
        <v>57</v>
      </c>
      <c r="AD13" s="8" t="s">
        <v>57</v>
      </c>
      <c r="AE13" s="8" t="s">
        <v>57</v>
      </c>
      <c r="AF13" s="8" t="s">
        <v>57</v>
      </c>
      <c r="AG13" s="8" t="s">
        <v>57</v>
      </c>
      <c r="AH13" s="8" t="s">
        <v>57</v>
      </c>
      <c r="AI13" s="8" t="s">
        <v>57</v>
      </c>
      <c r="AJ13" s="8" t="s">
        <v>57</v>
      </c>
    </row>
    <row r="14" spans="1:36" ht="15.75" customHeight="1">
      <c r="A14" s="6">
        <v>13</v>
      </c>
      <c r="B14" s="6" t="s">
        <v>32</v>
      </c>
      <c r="C14" s="6" t="s">
        <v>33</v>
      </c>
      <c r="D14" s="6" t="s">
        <v>38</v>
      </c>
      <c r="E14" s="7" t="s">
        <v>64</v>
      </c>
      <c r="F14" s="6" t="s">
        <v>36</v>
      </c>
      <c r="G14" s="6" t="s">
        <v>40</v>
      </c>
      <c r="H14" s="7"/>
      <c r="I14" s="8" t="s">
        <v>57</v>
      </c>
      <c r="J14" s="8" t="s">
        <v>57</v>
      </c>
      <c r="K14" s="8" t="s">
        <v>57</v>
      </c>
      <c r="L14" s="8" t="s">
        <v>57</v>
      </c>
      <c r="M14" s="8" t="s">
        <v>57</v>
      </c>
      <c r="N14" s="8" t="s">
        <v>57</v>
      </c>
      <c r="O14" s="8" t="s">
        <v>57</v>
      </c>
      <c r="P14" s="8" t="s">
        <v>57</v>
      </c>
      <c r="Q14" s="8" t="s">
        <v>57</v>
      </c>
      <c r="R14" s="8" t="s">
        <v>57</v>
      </c>
      <c r="S14" s="8" t="s">
        <v>57</v>
      </c>
      <c r="T14" s="8" t="s">
        <v>57</v>
      </c>
      <c r="U14" s="8" t="s">
        <v>57</v>
      </c>
      <c r="V14" s="8" t="s">
        <v>57</v>
      </c>
      <c r="W14" s="8" t="s">
        <v>57</v>
      </c>
      <c r="X14" s="8" t="s">
        <v>57</v>
      </c>
      <c r="Y14" s="8" t="s">
        <v>57</v>
      </c>
      <c r="Z14" s="8" t="s">
        <v>57</v>
      </c>
      <c r="AA14" s="8" t="s">
        <v>57</v>
      </c>
      <c r="AB14" s="8" t="s">
        <v>57</v>
      </c>
      <c r="AC14" s="8" t="s">
        <v>57</v>
      </c>
      <c r="AD14" s="8" t="s">
        <v>57</v>
      </c>
      <c r="AE14" s="8" t="s">
        <v>57</v>
      </c>
      <c r="AF14" s="8" t="s">
        <v>57</v>
      </c>
      <c r="AG14" s="8" t="s">
        <v>57</v>
      </c>
      <c r="AH14" s="8" t="s">
        <v>57</v>
      </c>
      <c r="AI14" s="8" t="s">
        <v>57</v>
      </c>
      <c r="AJ14" s="8" t="s">
        <v>57</v>
      </c>
    </row>
    <row r="15" spans="1:36" ht="15.75" customHeight="1">
      <c r="A15" s="6">
        <v>14</v>
      </c>
      <c r="B15" s="6" t="s">
        <v>32</v>
      </c>
      <c r="C15" s="6" t="s">
        <v>33</v>
      </c>
      <c r="D15" s="6" t="s">
        <v>38</v>
      </c>
      <c r="E15" s="7" t="s">
        <v>65</v>
      </c>
      <c r="F15" s="6" t="s">
        <v>36</v>
      </c>
      <c r="G15" s="6" t="s">
        <v>40</v>
      </c>
      <c r="H15" s="7"/>
      <c r="I15" s="8" t="s">
        <v>57</v>
      </c>
      <c r="J15" s="8" t="s">
        <v>57</v>
      </c>
      <c r="K15" s="8" t="s">
        <v>57</v>
      </c>
      <c r="L15" s="8" t="s">
        <v>57</v>
      </c>
      <c r="M15" s="8" t="s">
        <v>57</v>
      </c>
      <c r="N15" s="8" t="s">
        <v>57</v>
      </c>
      <c r="O15" s="8" t="s">
        <v>57</v>
      </c>
      <c r="P15" s="8" t="s">
        <v>57</v>
      </c>
      <c r="Q15" s="8" t="s">
        <v>57</v>
      </c>
      <c r="R15" s="8" t="s">
        <v>57</v>
      </c>
      <c r="S15" s="8" t="s">
        <v>57</v>
      </c>
      <c r="T15" s="8" t="s">
        <v>57</v>
      </c>
      <c r="U15" s="8" t="s">
        <v>57</v>
      </c>
      <c r="V15" s="8" t="s">
        <v>57</v>
      </c>
      <c r="W15" s="8" t="s">
        <v>57</v>
      </c>
      <c r="X15" s="8" t="s">
        <v>57</v>
      </c>
      <c r="Y15" s="8" t="s">
        <v>57</v>
      </c>
      <c r="Z15" s="8" t="s">
        <v>57</v>
      </c>
      <c r="AA15" s="8" t="s">
        <v>57</v>
      </c>
      <c r="AB15" s="8" t="s">
        <v>57</v>
      </c>
      <c r="AC15" s="8" t="s">
        <v>57</v>
      </c>
      <c r="AD15" s="8" t="s">
        <v>57</v>
      </c>
      <c r="AE15" s="8" t="s">
        <v>57</v>
      </c>
      <c r="AF15" s="8" t="s">
        <v>57</v>
      </c>
      <c r="AG15" s="8" t="s">
        <v>57</v>
      </c>
      <c r="AH15" s="8" t="s">
        <v>57</v>
      </c>
      <c r="AI15" s="8" t="s">
        <v>57</v>
      </c>
      <c r="AJ15" s="8" t="s">
        <v>57</v>
      </c>
    </row>
    <row r="16" spans="1:36" ht="15.75" customHeight="1">
      <c r="A16" s="6">
        <v>15</v>
      </c>
      <c r="B16" s="6" t="s">
        <v>32</v>
      </c>
      <c r="C16" s="6" t="s">
        <v>33</v>
      </c>
      <c r="D16" s="6" t="s">
        <v>38</v>
      </c>
      <c r="E16" s="7" t="s">
        <v>66</v>
      </c>
      <c r="F16" s="6" t="s">
        <v>36</v>
      </c>
      <c r="G16" s="6" t="s">
        <v>40</v>
      </c>
      <c r="H16" s="7"/>
      <c r="I16" s="8" t="s">
        <v>57</v>
      </c>
      <c r="J16" s="8" t="s">
        <v>57</v>
      </c>
      <c r="K16" s="8" t="s">
        <v>57</v>
      </c>
      <c r="L16" s="8" t="s">
        <v>57</v>
      </c>
      <c r="M16" s="8" t="s">
        <v>57</v>
      </c>
      <c r="N16" s="8" t="s">
        <v>57</v>
      </c>
      <c r="O16" s="8" t="s">
        <v>57</v>
      </c>
      <c r="P16" s="8" t="s">
        <v>57</v>
      </c>
      <c r="Q16" s="8" t="s">
        <v>57</v>
      </c>
      <c r="R16" s="8" t="s">
        <v>57</v>
      </c>
      <c r="S16" s="8" t="s">
        <v>57</v>
      </c>
      <c r="T16" s="8" t="s">
        <v>57</v>
      </c>
      <c r="U16" s="8" t="s">
        <v>57</v>
      </c>
      <c r="V16" s="8" t="s">
        <v>57</v>
      </c>
      <c r="W16" s="8" t="s">
        <v>57</v>
      </c>
      <c r="X16" s="8" t="s">
        <v>57</v>
      </c>
      <c r="Y16" s="8" t="s">
        <v>57</v>
      </c>
      <c r="Z16" s="8" t="s">
        <v>57</v>
      </c>
      <c r="AA16" s="8" t="s">
        <v>57</v>
      </c>
      <c r="AB16" s="8" t="s">
        <v>57</v>
      </c>
      <c r="AC16" s="8" t="s">
        <v>57</v>
      </c>
      <c r="AD16" s="8" t="s">
        <v>57</v>
      </c>
      <c r="AE16" s="8" t="s">
        <v>57</v>
      </c>
      <c r="AF16" s="8" t="s">
        <v>57</v>
      </c>
      <c r="AG16" s="8" t="s">
        <v>57</v>
      </c>
      <c r="AH16" s="8" t="s">
        <v>57</v>
      </c>
      <c r="AI16" s="8" t="s">
        <v>57</v>
      </c>
      <c r="AJ16" s="8" t="s">
        <v>57</v>
      </c>
    </row>
    <row r="17" spans="1:36" ht="15.75" customHeight="1">
      <c r="A17" s="6">
        <v>16</v>
      </c>
      <c r="B17" s="6" t="s">
        <v>32</v>
      </c>
      <c r="C17" s="6" t="s">
        <v>33</v>
      </c>
      <c r="D17" s="6" t="s">
        <v>38</v>
      </c>
      <c r="E17" s="7" t="s">
        <v>54</v>
      </c>
      <c r="F17" s="6" t="s">
        <v>36</v>
      </c>
      <c r="G17" s="6" t="s">
        <v>40</v>
      </c>
      <c r="H17" s="7"/>
      <c r="I17" s="8" t="s">
        <v>57</v>
      </c>
      <c r="J17" s="8" t="s">
        <v>57</v>
      </c>
      <c r="K17" s="8" t="s">
        <v>57</v>
      </c>
      <c r="L17" s="8" t="s">
        <v>57</v>
      </c>
      <c r="M17" s="8" t="s">
        <v>57</v>
      </c>
      <c r="N17" s="8" t="s">
        <v>57</v>
      </c>
      <c r="O17" s="8" t="s">
        <v>57</v>
      </c>
      <c r="P17" s="8" t="s">
        <v>57</v>
      </c>
      <c r="Q17" s="8" t="s">
        <v>57</v>
      </c>
      <c r="R17" s="8" t="s">
        <v>57</v>
      </c>
      <c r="S17" s="8" t="s">
        <v>57</v>
      </c>
      <c r="T17" s="8" t="s">
        <v>57</v>
      </c>
      <c r="U17" s="8" t="s">
        <v>57</v>
      </c>
      <c r="V17" s="8" t="s">
        <v>57</v>
      </c>
      <c r="W17" s="8" t="s">
        <v>57</v>
      </c>
      <c r="X17" s="8" t="s">
        <v>57</v>
      </c>
      <c r="Y17" s="8" t="s">
        <v>57</v>
      </c>
      <c r="Z17" s="8" t="s">
        <v>57</v>
      </c>
      <c r="AA17" s="8" t="s">
        <v>57</v>
      </c>
      <c r="AB17" s="8" t="s">
        <v>57</v>
      </c>
      <c r="AC17" s="8" t="s">
        <v>57</v>
      </c>
      <c r="AD17" s="8" t="s">
        <v>57</v>
      </c>
      <c r="AE17" s="8" t="s">
        <v>57</v>
      </c>
      <c r="AF17" s="8" t="s">
        <v>57</v>
      </c>
      <c r="AG17" s="8" t="s">
        <v>57</v>
      </c>
      <c r="AH17" s="8" t="s">
        <v>57</v>
      </c>
      <c r="AI17" s="8" t="s">
        <v>57</v>
      </c>
      <c r="AJ17" s="8" t="s">
        <v>57</v>
      </c>
    </row>
    <row r="18" spans="1:36" ht="15.75" customHeight="1">
      <c r="A18" s="6">
        <v>17</v>
      </c>
      <c r="B18" s="6" t="s">
        <v>32</v>
      </c>
      <c r="C18" s="6" t="s">
        <v>33</v>
      </c>
      <c r="D18" s="6" t="s">
        <v>38</v>
      </c>
      <c r="E18" s="7" t="s">
        <v>67</v>
      </c>
      <c r="F18" s="6" t="s">
        <v>36</v>
      </c>
      <c r="G18" s="6" t="s">
        <v>40</v>
      </c>
      <c r="H18" s="7"/>
      <c r="I18" s="8" t="s">
        <v>57</v>
      </c>
      <c r="J18" s="8" t="s">
        <v>57</v>
      </c>
      <c r="K18" s="8" t="s">
        <v>57</v>
      </c>
      <c r="L18" s="8" t="s">
        <v>57</v>
      </c>
      <c r="M18" s="8" t="s">
        <v>57</v>
      </c>
      <c r="N18" s="8" t="s">
        <v>57</v>
      </c>
      <c r="O18" s="8" t="s">
        <v>57</v>
      </c>
      <c r="P18" s="8" t="s">
        <v>57</v>
      </c>
      <c r="Q18" s="8" t="s">
        <v>57</v>
      </c>
      <c r="R18" s="8" t="s">
        <v>57</v>
      </c>
      <c r="S18" s="8" t="s">
        <v>57</v>
      </c>
      <c r="T18" s="8" t="s">
        <v>57</v>
      </c>
      <c r="U18" s="8" t="s">
        <v>57</v>
      </c>
      <c r="V18" s="8" t="s">
        <v>57</v>
      </c>
      <c r="W18" s="8" t="s">
        <v>57</v>
      </c>
      <c r="X18" s="8" t="s">
        <v>57</v>
      </c>
      <c r="Y18" s="8" t="s">
        <v>57</v>
      </c>
      <c r="Z18" s="8" t="s">
        <v>57</v>
      </c>
      <c r="AA18" s="8" t="s">
        <v>57</v>
      </c>
      <c r="AB18" s="8" t="s">
        <v>57</v>
      </c>
      <c r="AC18" s="8" t="s">
        <v>57</v>
      </c>
      <c r="AD18" s="8" t="s">
        <v>57</v>
      </c>
      <c r="AE18" s="8" t="s">
        <v>57</v>
      </c>
      <c r="AF18" s="8" t="s">
        <v>57</v>
      </c>
      <c r="AG18" s="8" t="s">
        <v>57</v>
      </c>
      <c r="AH18" s="8" t="s">
        <v>57</v>
      </c>
      <c r="AI18" s="8" t="s">
        <v>57</v>
      </c>
      <c r="AJ18" s="8" t="s">
        <v>57</v>
      </c>
    </row>
    <row r="19" spans="1:36" ht="15.75" customHeight="1">
      <c r="A19" s="6">
        <v>18</v>
      </c>
      <c r="B19" s="6" t="s">
        <v>32</v>
      </c>
      <c r="C19" s="6" t="s">
        <v>33</v>
      </c>
      <c r="D19" s="6" t="s">
        <v>38</v>
      </c>
      <c r="E19" s="7" t="s">
        <v>68</v>
      </c>
      <c r="F19" s="6" t="s">
        <v>36</v>
      </c>
      <c r="G19" s="6" t="s">
        <v>40</v>
      </c>
      <c r="H19" s="7"/>
      <c r="I19" s="8" t="s">
        <v>57</v>
      </c>
      <c r="J19" s="8" t="s">
        <v>57</v>
      </c>
      <c r="K19" s="8" t="s">
        <v>57</v>
      </c>
      <c r="L19" s="8" t="s">
        <v>57</v>
      </c>
      <c r="M19" s="8" t="s">
        <v>57</v>
      </c>
      <c r="N19" s="8" t="s">
        <v>57</v>
      </c>
      <c r="O19" s="8" t="s">
        <v>57</v>
      </c>
      <c r="P19" s="8" t="s">
        <v>57</v>
      </c>
      <c r="Q19" s="8" t="s">
        <v>57</v>
      </c>
      <c r="R19" s="8" t="s">
        <v>57</v>
      </c>
      <c r="S19" s="8" t="s">
        <v>57</v>
      </c>
      <c r="T19" s="8" t="s">
        <v>57</v>
      </c>
      <c r="U19" s="8" t="s">
        <v>57</v>
      </c>
      <c r="V19" s="8" t="s">
        <v>57</v>
      </c>
      <c r="W19" s="8" t="s">
        <v>57</v>
      </c>
      <c r="X19" s="8" t="s">
        <v>57</v>
      </c>
      <c r="Y19" s="8" t="s">
        <v>57</v>
      </c>
      <c r="Z19" s="8" t="s">
        <v>57</v>
      </c>
      <c r="AA19" s="8" t="s">
        <v>57</v>
      </c>
      <c r="AB19" s="8" t="s">
        <v>57</v>
      </c>
      <c r="AC19" s="8" t="s">
        <v>57</v>
      </c>
      <c r="AD19" s="8" t="s">
        <v>57</v>
      </c>
      <c r="AE19" s="8" t="s">
        <v>57</v>
      </c>
      <c r="AF19" s="8" t="s">
        <v>57</v>
      </c>
      <c r="AG19" s="8" t="s">
        <v>57</v>
      </c>
      <c r="AH19" s="8" t="s">
        <v>57</v>
      </c>
      <c r="AI19" s="8" t="s">
        <v>57</v>
      </c>
      <c r="AJ19" s="8" t="s">
        <v>57</v>
      </c>
    </row>
    <row r="20" spans="1:36" ht="15.75" customHeight="1">
      <c r="A20" s="6">
        <v>19</v>
      </c>
      <c r="B20" s="6" t="s">
        <v>41</v>
      </c>
      <c r="C20" s="6" t="s">
        <v>42</v>
      </c>
      <c r="D20" s="6" t="s">
        <v>43</v>
      </c>
      <c r="E20" s="6" t="s">
        <v>69</v>
      </c>
      <c r="F20" s="7"/>
      <c r="G20" s="7"/>
      <c r="H20" s="6" t="s">
        <v>70</v>
      </c>
      <c r="I20" s="8" t="s">
        <v>57</v>
      </c>
      <c r="J20" s="8" t="s">
        <v>57</v>
      </c>
      <c r="K20" s="8" t="s">
        <v>57</v>
      </c>
      <c r="L20" s="8" t="s">
        <v>57</v>
      </c>
      <c r="M20" s="8" t="s">
        <v>57</v>
      </c>
      <c r="N20" s="8" t="s">
        <v>57</v>
      </c>
      <c r="O20" s="8" t="s">
        <v>57</v>
      </c>
      <c r="P20" s="8" t="s">
        <v>57</v>
      </c>
      <c r="Q20" s="8" t="s">
        <v>57</v>
      </c>
      <c r="R20" s="8" t="s">
        <v>57</v>
      </c>
      <c r="S20" s="8" t="s">
        <v>57</v>
      </c>
      <c r="T20" s="8" t="s">
        <v>57</v>
      </c>
      <c r="U20" s="8" t="s">
        <v>57</v>
      </c>
      <c r="V20" s="8" t="s">
        <v>57</v>
      </c>
      <c r="W20" s="8" t="s">
        <v>57</v>
      </c>
      <c r="X20" s="8" t="s">
        <v>57</v>
      </c>
      <c r="Y20" s="8" t="s">
        <v>57</v>
      </c>
      <c r="Z20" s="8" t="s">
        <v>57</v>
      </c>
      <c r="AA20" s="8" t="s">
        <v>57</v>
      </c>
      <c r="AB20" s="8" t="s">
        <v>57</v>
      </c>
      <c r="AC20" s="8" t="s">
        <v>57</v>
      </c>
      <c r="AD20" s="8" t="s">
        <v>57</v>
      </c>
      <c r="AE20" s="8" t="s">
        <v>57</v>
      </c>
      <c r="AF20" s="8" t="s">
        <v>57</v>
      </c>
      <c r="AG20" s="8" t="s">
        <v>57</v>
      </c>
      <c r="AH20" s="8" t="s">
        <v>57</v>
      </c>
      <c r="AI20" s="8" t="s">
        <v>57</v>
      </c>
      <c r="AJ20" s="8" t="s">
        <v>57</v>
      </c>
    </row>
    <row r="21" spans="1:36" ht="15.75" customHeight="1">
      <c r="A21" s="6">
        <v>20</v>
      </c>
      <c r="B21" s="6" t="s">
        <v>41</v>
      </c>
      <c r="C21" s="6" t="s">
        <v>42</v>
      </c>
      <c r="D21" s="6" t="s">
        <v>43</v>
      </c>
      <c r="E21" s="6" t="s">
        <v>71</v>
      </c>
      <c r="F21" s="7"/>
      <c r="G21" s="7"/>
      <c r="H21" s="7"/>
      <c r="I21" s="8" t="s">
        <v>57</v>
      </c>
      <c r="J21" s="8" t="s">
        <v>57</v>
      </c>
      <c r="K21" s="8" t="s">
        <v>57</v>
      </c>
      <c r="L21" s="8" t="s">
        <v>57</v>
      </c>
      <c r="M21" s="8" t="s">
        <v>57</v>
      </c>
      <c r="N21" s="8" t="s">
        <v>57</v>
      </c>
      <c r="O21" s="8" t="s">
        <v>57</v>
      </c>
      <c r="P21" s="8" t="s">
        <v>57</v>
      </c>
      <c r="Q21" s="8" t="s">
        <v>57</v>
      </c>
      <c r="R21" s="8" t="s">
        <v>57</v>
      </c>
      <c r="S21" s="8" t="s">
        <v>57</v>
      </c>
      <c r="T21" s="8" t="s">
        <v>57</v>
      </c>
      <c r="U21" s="8" t="s">
        <v>57</v>
      </c>
      <c r="V21" s="8" t="s">
        <v>57</v>
      </c>
      <c r="W21" s="8" t="s">
        <v>57</v>
      </c>
      <c r="X21" s="8" t="s">
        <v>57</v>
      </c>
      <c r="Y21" s="8" t="s">
        <v>57</v>
      </c>
      <c r="Z21" s="8" t="s">
        <v>57</v>
      </c>
      <c r="AA21" s="8" t="s">
        <v>57</v>
      </c>
      <c r="AB21" s="8" t="s">
        <v>57</v>
      </c>
      <c r="AC21" s="8" t="s">
        <v>57</v>
      </c>
      <c r="AD21" s="8" t="s">
        <v>57</v>
      </c>
      <c r="AE21" s="8" t="s">
        <v>57</v>
      </c>
      <c r="AF21" s="8" t="s">
        <v>57</v>
      </c>
      <c r="AG21" s="8" t="s">
        <v>57</v>
      </c>
      <c r="AH21" s="8" t="s">
        <v>57</v>
      </c>
      <c r="AI21" s="8" t="s">
        <v>57</v>
      </c>
      <c r="AJ21" s="8" t="s">
        <v>57</v>
      </c>
    </row>
    <row r="22" spans="1:36" ht="15.75" customHeight="1">
      <c r="A22" s="6">
        <v>21</v>
      </c>
      <c r="B22" s="6" t="s">
        <v>41</v>
      </c>
      <c r="C22" s="6" t="s">
        <v>42</v>
      </c>
      <c r="D22" s="6" t="s">
        <v>43</v>
      </c>
      <c r="E22" s="6" t="s">
        <v>72</v>
      </c>
      <c r="F22" s="7"/>
      <c r="G22" s="7"/>
      <c r="H22" s="7"/>
      <c r="I22" s="8" t="s">
        <v>57</v>
      </c>
      <c r="J22" s="8" t="s">
        <v>57</v>
      </c>
      <c r="K22" s="8" t="s">
        <v>57</v>
      </c>
      <c r="L22" s="8" t="s">
        <v>57</v>
      </c>
      <c r="M22" s="8" t="s">
        <v>57</v>
      </c>
      <c r="N22" s="8" t="s">
        <v>57</v>
      </c>
      <c r="O22" s="8" t="s">
        <v>57</v>
      </c>
      <c r="P22" s="8" t="s">
        <v>57</v>
      </c>
      <c r="Q22" s="8" t="s">
        <v>57</v>
      </c>
      <c r="R22" s="8" t="s">
        <v>57</v>
      </c>
      <c r="S22" s="8" t="s">
        <v>57</v>
      </c>
      <c r="T22" s="8" t="s">
        <v>57</v>
      </c>
      <c r="U22" s="8" t="s">
        <v>57</v>
      </c>
      <c r="V22" s="8" t="s">
        <v>57</v>
      </c>
      <c r="W22" s="8" t="s">
        <v>57</v>
      </c>
      <c r="X22" s="8" t="s">
        <v>57</v>
      </c>
      <c r="Y22" s="8" t="s">
        <v>57</v>
      </c>
      <c r="Z22" s="8" t="s">
        <v>57</v>
      </c>
      <c r="AA22" s="8" t="s">
        <v>57</v>
      </c>
      <c r="AB22" s="8" t="s">
        <v>57</v>
      </c>
      <c r="AC22" s="8" t="s">
        <v>57</v>
      </c>
      <c r="AD22" s="8" t="s">
        <v>57</v>
      </c>
      <c r="AE22" s="8" t="s">
        <v>57</v>
      </c>
      <c r="AF22" s="8" t="s">
        <v>57</v>
      </c>
      <c r="AG22" s="8" t="s">
        <v>57</v>
      </c>
      <c r="AH22" s="8" t="s">
        <v>57</v>
      </c>
      <c r="AI22" s="8" t="s">
        <v>57</v>
      </c>
      <c r="AJ22" s="8" t="s">
        <v>57</v>
      </c>
    </row>
    <row r="23" spans="1:36" ht="15.75" customHeight="1">
      <c r="A23" s="6">
        <v>22</v>
      </c>
      <c r="B23" s="6" t="s">
        <v>41</v>
      </c>
      <c r="C23" s="6" t="s">
        <v>42</v>
      </c>
      <c r="D23" s="6" t="s">
        <v>45</v>
      </c>
      <c r="E23" s="7"/>
      <c r="F23" s="7"/>
      <c r="G23" s="7"/>
      <c r="H23" s="7" t="s">
        <v>46</v>
      </c>
      <c r="I23" s="8" t="s">
        <v>57</v>
      </c>
      <c r="J23" s="8" t="s">
        <v>57</v>
      </c>
      <c r="K23" s="8" t="s">
        <v>57</v>
      </c>
      <c r="L23" s="8" t="s">
        <v>57</v>
      </c>
      <c r="M23" s="8" t="s">
        <v>57</v>
      </c>
      <c r="N23" s="8" t="s">
        <v>57</v>
      </c>
      <c r="O23" s="8" t="s">
        <v>57</v>
      </c>
      <c r="P23" s="8" t="s">
        <v>57</v>
      </c>
      <c r="Q23" s="8" t="s">
        <v>57</v>
      </c>
      <c r="R23" s="8" t="s">
        <v>57</v>
      </c>
      <c r="S23" s="8" t="s">
        <v>57</v>
      </c>
      <c r="T23" s="8" t="s">
        <v>57</v>
      </c>
      <c r="U23" s="8" t="s">
        <v>57</v>
      </c>
      <c r="V23" s="8" t="s">
        <v>57</v>
      </c>
      <c r="W23" s="8" t="s">
        <v>57</v>
      </c>
      <c r="X23" s="8" t="s">
        <v>57</v>
      </c>
      <c r="Y23" s="8" t="s">
        <v>57</v>
      </c>
      <c r="Z23" s="8" t="s">
        <v>57</v>
      </c>
      <c r="AA23" s="8" t="s">
        <v>57</v>
      </c>
      <c r="AB23" s="8" t="s">
        <v>57</v>
      </c>
      <c r="AC23" s="8" t="s">
        <v>57</v>
      </c>
      <c r="AD23" s="8" t="s">
        <v>57</v>
      </c>
      <c r="AE23" s="8" t="s">
        <v>57</v>
      </c>
      <c r="AF23" s="8" t="s">
        <v>57</v>
      </c>
      <c r="AG23" s="8" t="s">
        <v>57</v>
      </c>
      <c r="AH23" s="8" t="s">
        <v>57</v>
      </c>
      <c r="AI23" s="8" t="s">
        <v>57</v>
      </c>
      <c r="AJ23" s="8" t="s">
        <v>57</v>
      </c>
    </row>
    <row r="24" spans="1:36" ht="15.75" customHeight="1">
      <c r="A24" s="6">
        <v>23</v>
      </c>
      <c r="B24" s="6" t="s">
        <v>41</v>
      </c>
      <c r="C24" s="6" t="s">
        <v>33</v>
      </c>
      <c r="D24" s="6" t="s">
        <v>47</v>
      </c>
      <c r="E24" s="7" t="s">
        <v>73</v>
      </c>
      <c r="F24" s="6" t="s">
        <v>36</v>
      </c>
      <c r="G24" s="6" t="s">
        <v>47</v>
      </c>
      <c r="H24" s="7"/>
      <c r="I24" s="8" t="s">
        <v>57</v>
      </c>
      <c r="J24" s="8" t="s">
        <v>57</v>
      </c>
      <c r="K24" s="8" t="s">
        <v>57</v>
      </c>
      <c r="L24" s="8" t="s">
        <v>57</v>
      </c>
      <c r="M24" s="8" t="s">
        <v>57</v>
      </c>
      <c r="N24" s="8" t="s">
        <v>57</v>
      </c>
      <c r="O24" s="8" t="s">
        <v>57</v>
      </c>
      <c r="P24" s="8" t="s">
        <v>57</v>
      </c>
      <c r="Q24" s="8" t="s">
        <v>57</v>
      </c>
      <c r="R24" s="8" t="s">
        <v>57</v>
      </c>
      <c r="S24" s="8" t="s">
        <v>57</v>
      </c>
      <c r="T24" s="8" t="s">
        <v>57</v>
      </c>
      <c r="U24" s="8" t="s">
        <v>57</v>
      </c>
      <c r="V24" s="8" t="s">
        <v>57</v>
      </c>
      <c r="W24" s="8" t="s">
        <v>57</v>
      </c>
      <c r="X24" s="8" t="s">
        <v>57</v>
      </c>
      <c r="Y24" s="8" t="s">
        <v>57</v>
      </c>
      <c r="Z24" s="8" t="s">
        <v>57</v>
      </c>
      <c r="AA24" s="8" t="s">
        <v>57</v>
      </c>
      <c r="AB24" s="8" t="s">
        <v>57</v>
      </c>
      <c r="AC24" s="8" t="s">
        <v>57</v>
      </c>
      <c r="AD24" s="8" t="s">
        <v>57</v>
      </c>
      <c r="AE24" s="8" t="s">
        <v>57</v>
      </c>
      <c r="AF24" s="8" t="s">
        <v>57</v>
      </c>
      <c r="AG24" s="8" t="s">
        <v>57</v>
      </c>
      <c r="AH24" s="8" t="s">
        <v>57</v>
      </c>
      <c r="AI24" s="8" t="s">
        <v>57</v>
      </c>
      <c r="AJ24" s="8" t="s">
        <v>57</v>
      </c>
    </row>
    <row r="25" spans="1:36" ht="15.75" customHeight="1">
      <c r="A25" s="6">
        <v>24</v>
      </c>
      <c r="B25" s="6" t="s">
        <v>41</v>
      </c>
      <c r="C25" s="6" t="s">
        <v>33</v>
      </c>
      <c r="D25" s="6" t="s">
        <v>47</v>
      </c>
      <c r="E25" s="7" t="s">
        <v>74</v>
      </c>
      <c r="F25" s="6" t="s">
        <v>36</v>
      </c>
      <c r="G25" s="6" t="s">
        <v>47</v>
      </c>
      <c r="H25" s="7"/>
      <c r="I25" s="8" t="s">
        <v>57</v>
      </c>
      <c r="J25" s="8" t="s">
        <v>57</v>
      </c>
      <c r="K25" s="8" t="s">
        <v>57</v>
      </c>
      <c r="L25" s="8" t="s">
        <v>57</v>
      </c>
      <c r="M25" s="8" t="s">
        <v>57</v>
      </c>
      <c r="N25" s="8" t="s">
        <v>57</v>
      </c>
      <c r="O25" s="8" t="s">
        <v>57</v>
      </c>
      <c r="P25" s="8" t="s">
        <v>57</v>
      </c>
      <c r="Q25" s="8" t="s">
        <v>57</v>
      </c>
      <c r="R25" s="8" t="s">
        <v>57</v>
      </c>
      <c r="S25" s="8" t="s">
        <v>57</v>
      </c>
      <c r="T25" s="8" t="s">
        <v>57</v>
      </c>
      <c r="U25" s="8" t="s">
        <v>57</v>
      </c>
      <c r="V25" s="8" t="s">
        <v>57</v>
      </c>
      <c r="W25" s="8" t="s">
        <v>57</v>
      </c>
      <c r="X25" s="8" t="s">
        <v>57</v>
      </c>
      <c r="Y25" s="8" t="s">
        <v>57</v>
      </c>
      <c r="Z25" s="8" t="s">
        <v>57</v>
      </c>
      <c r="AA25" s="8" t="s">
        <v>57</v>
      </c>
      <c r="AB25" s="8" t="s">
        <v>57</v>
      </c>
      <c r="AC25" s="8" t="s">
        <v>57</v>
      </c>
      <c r="AD25" s="8" t="s">
        <v>57</v>
      </c>
      <c r="AE25" s="8" t="s">
        <v>57</v>
      </c>
      <c r="AF25" s="8" t="s">
        <v>57</v>
      </c>
      <c r="AG25" s="8" t="s">
        <v>57</v>
      </c>
      <c r="AH25" s="8" t="s">
        <v>57</v>
      </c>
      <c r="AI25" s="8" t="s">
        <v>57</v>
      </c>
      <c r="AJ25" s="8" t="s">
        <v>57</v>
      </c>
    </row>
    <row r="26" spans="1:36" ht="15.75" customHeight="1">
      <c r="A26" s="6">
        <v>25</v>
      </c>
      <c r="B26" s="6" t="s">
        <v>41</v>
      </c>
      <c r="C26" s="6" t="s">
        <v>33</v>
      </c>
      <c r="D26" s="6" t="s">
        <v>47</v>
      </c>
      <c r="E26" s="7" t="s">
        <v>75</v>
      </c>
      <c r="F26" s="6" t="s">
        <v>36</v>
      </c>
      <c r="G26" s="6" t="s">
        <v>47</v>
      </c>
      <c r="H26" s="7"/>
      <c r="I26" s="8" t="s">
        <v>57</v>
      </c>
      <c r="J26" s="8" t="s">
        <v>57</v>
      </c>
      <c r="K26" s="8" t="s">
        <v>57</v>
      </c>
      <c r="L26" s="8" t="s">
        <v>57</v>
      </c>
      <c r="M26" s="8" t="s">
        <v>57</v>
      </c>
      <c r="N26" s="8" t="s">
        <v>57</v>
      </c>
      <c r="O26" s="8" t="s">
        <v>57</v>
      </c>
      <c r="P26" s="8" t="s">
        <v>57</v>
      </c>
      <c r="Q26" s="8" t="s">
        <v>57</v>
      </c>
      <c r="R26" s="8" t="s">
        <v>57</v>
      </c>
      <c r="S26" s="8" t="s">
        <v>57</v>
      </c>
      <c r="T26" s="8" t="s">
        <v>57</v>
      </c>
      <c r="U26" s="8" t="s">
        <v>57</v>
      </c>
      <c r="V26" s="8" t="s">
        <v>57</v>
      </c>
      <c r="W26" s="8" t="s">
        <v>57</v>
      </c>
      <c r="X26" s="8" t="s">
        <v>57</v>
      </c>
      <c r="Y26" s="8" t="s">
        <v>57</v>
      </c>
      <c r="Z26" s="8" t="s">
        <v>57</v>
      </c>
      <c r="AA26" s="8" t="s">
        <v>57</v>
      </c>
      <c r="AB26" s="8" t="s">
        <v>57</v>
      </c>
      <c r="AC26" s="8" t="s">
        <v>57</v>
      </c>
      <c r="AD26" s="8" t="s">
        <v>57</v>
      </c>
      <c r="AE26" s="8" t="s">
        <v>57</v>
      </c>
      <c r="AF26" s="8" t="s">
        <v>57</v>
      </c>
      <c r="AG26" s="8" t="s">
        <v>57</v>
      </c>
      <c r="AH26" s="8" t="s">
        <v>57</v>
      </c>
      <c r="AI26" s="8" t="s">
        <v>57</v>
      </c>
      <c r="AJ26" s="8" t="s">
        <v>57</v>
      </c>
    </row>
    <row r="27" spans="1:36" ht="15.75" customHeight="1">
      <c r="A27" s="6">
        <v>26</v>
      </c>
      <c r="B27" s="6" t="s">
        <v>41</v>
      </c>
      <c r="C27" s="6" t="s">
        <v>33</v>
      </c>
      <c r="D27" s="6" t="s">
        <v>47</v>
      </c>
      <c r="E27" s="7" t="s">
        <v>76</v>
      </c>
      <c r="F27" s="6" t="s">
        <v>36</v>
      </c>
      <c r="G27" s="6" t="s">
        <v>47</v>
      </c>
      <c r="H27" s="7"/>
    </row>
    <row r="28" spans="1:36" ht="15.75" customHeight="1">
      <c r="A28" s="6">
        <v>27</v>
      </c>
      <c r="B28" s="6" t="s">
        <v>41</v>
      </c>
      <c r="C28" s="6" t="s">
        <v>33</v>
      </c>
      <c r="D28" s="6" t="s">
        <v>47</v>
      </c>
      <c r="E28" s="7" t="s">
        <v>77</v>
      </c>
      <c r="F28" s="6" t="s">
        <v>36</v>
      </c>
      <c r="G28" s="6" t="s">
        <v>47</v>
      </c>
      <c r="H28" s="7"/>
    </row>
    <row r="29" spans="1:36" ht="15.75" customHeight="1">
      <c r="A29" s="6">
        <v>28</v>
      </c>
      <c r="B29" s="6" t="s">
        <v>41</v>
      </c>
      <c r="C29" s="6" t="s">
        <v>33</v>
      </c>
      <c r="D29" s="6" t="s">
        <v>47</v>
      </c>
      <c r="E29" s="7" t="s">
        <v>53</v>
      </c>
      <c r="F29" s="6" t="s">
        <v>36</v>
      </c>
      <c r="G29" s="6" t="s">
        <v>47</v>
      </c>
      <c r="H29" s="7"/>
    </row>
    <row r="30" spans="1:36" ht="15.75" customHeight="1">
      <c r="A30" s="6">
        <v>29</v>
      </c>
      <c r="B30" s="6" t="s">
        <v>41</v>
      </c>
      <c r="C30" s="6" t="s">
        <v>33</v>
      </c>
      <c r="D30" s="6" t="s">
        <v>47</v>
      </c>
      <c r="E30" s="7" t="s">
        <v>58</v>
      </c>
      <c r="F30" s="6" t="s">
        <v>36</v>
      </c>
      <c r="G30" s="6" t="s">
        <v>47</v>
      </c>
      <c r="H30" s="7"/>
    </row>
    <row r="31" spans="1:36" ht="15.75" customHeight="1">
      <c r="A31" s="6">
        <v>30</v>
      </c>
      <c r="B31" s="6" t="s">
        <v>41</v>
      </c>
      <c r="C31" s="6" t="s">
        <v>33</v>
      </c>
      <c r="D31" s="6" t="s">
        <v>47</v>
      </c>
      <c r="E31" s="7" t="s">
        <v>59</v>
      </c>
      <c r="F31" s="6" t="s">
        <v>36</v>
      </c>
      <c r="G31" s="6" t="s">
        <v>47</v>
      </c>
      <c r="H31" s="7"/>
    </row>
    <row r="32" spans="1:36" ht="15.75" customHeight="1">
      <c r="A32" s="6">
        <v>31</v>
      </c>
      <c r="B32" s="6" t="s">
        <v>41</v>
      </c>
      <c r="C32" s="6" t="s">
        <v>33</v>
      </c>
      <c r="D32" s="6" t="s">
        <v>47</v>
      </c>
      <c r="E32" s="7" t="s">
        <v>78</v>
      </c>
      <c r="F32" s="6" t="s">
        <v>36</v>
      </c>
      <c r="G32" s="6" t="s">
        <v>47</v>
      </c>
      <c r="H32" s="7"/>
    </row>
    <row r="33" spans="1:8" ht="15.75" customHeight="1">
      <c r="A33" s="6">
        <v>32</v>
      </c>
      <c r="B33" s="6" t="s">
        <v>41</v>
      </c>
      <c r="C33" s="6" t="s">
        <v>33</v>
      </c>
      <c r="D33" s="6" t="s">
        <v>47</v>
      </c>
      <c r="E33" s="7" t="s">
        <v>79</v>
      </c>
      <c r="F33" s="6" t="s">
        <v>36</v>
      </c>
      <c r="G33" s="6" t="s">
        <v>47</v>
      </c>
      <c r="H33" s="7"/>
    </row>
    <row r="34" spans="1:8" ht="15.75" customHeight="1">
      <c r="A34" s="6">
        <v>33</v>
      </c>
      <c r="B34" s="6" t="s">
        <v>41</v>
      </c>
      <c r="C34" s="6" t="s">
        <v>33</v>
      </c>
      <c r="D34" s="6" t="s">
        <v>47</v>
      </c>
      <c r="E34" s="7" t="s">
        <v>80</v>
      </c>
      <c r="F34" s="6" t="s">
        <v>36</v>
      </c>
      <c r="G34" s="6" t="s">
        <v>47</v>
      </c>
      <c r="H34" s="7"/>
    </row>
    <row r="35" spans="1:8" ht="15.75" customHeight="1">
      <c r="A35" s="6">
        <v>34</v>
      </c>
      <c r="B35" s="6" t="s">
        <v>41</v>
      </c>
      <c r="C35" s="6" t="s">
        <v>33</v>
      </c>
      <c r="D35" s="6" t="s">
        <v>47</v>
      </c>
      <c r="E35" s="7" t="s">
        <v>81</v>
      </c>
      <c r="F35" s="6" t="s">
        <v>36</v>
      </c>
      <c r="G35" s="6" t="s">
        <v>47</v>
      </c>
      <c r="H35" s="7"/>
    </row>
    <row r="36" spans="1:8" ht="15.75" customHeight="1">
      <c r="A36" s="6">
        <v>35</v>
      </c>
      <c r="B36" s="6" t="s">
        <v>41</v>
      </c>
      <c r="C36" s="6" t="s">
        <v>33</v>
      </c>
      <c r="D36" s="6" t="s">
        <v>47</v>
      </c>
      <c r="E36" s="7" t="s">
        <v>82</v>
      </c>
      <c r="F36" s="6" t="s">
        <v>36</v>
      </c>
      <c r="G36" s="6" t="s">
        <v>47</v>
      </c>
      <c r="H36" s="7"/>
    </row>
    <row r="37" spans="1:8" ht="12.5">
      <c r="A37" s="6">
        <v>36</v>
      </c>
      <c r="B37" s="6" t="s">
        <v>41</v>
      </c>
      <c r="C37" s="6" t="s">
        <v>33</v>
      </c>
      <c r="D37" s="6" t="s">
        <v>47</v>
      </c>
      <c r="E37" s="7" t="s">
        <v>83</v>
      </c>
      <c r="F37" s="6" t="s">
        <v>36</v>
      </c>
      <c r="G37" s="6" t="s">
        <v>47</v>
      </c>
      <c r="H37" s="7"/>
    </row>
    <row r="38" spans="1:8" ht="12.5">
      <c r="A38" s="6">
        <v>37</v>
      </c>
      <c r="B38" s="6" t="s">
        <v>41</v>
      </c>
      <c r="C38" s="6" t="s">
        <v>33</v>
      </c>
      <c r="D38" s="6" t="s">
        <v>47</v>
      </c>
      <c r="E38" s="7" t="s">
        <v>84</v>
      </c>
      <c r="F38" s="6" t="s">
        <v>36</v>
      </c>
      <c r="G38" s="6" t="s">
        <v>47</v>
      </c>
      <c r="H38" s="7"/>
    </row>
    <row r="39" spans="1:8" ht="12.5">
      <c r="A39" s="6">
        <v>38</v>
      </c>
      <c r="B39" s="6" t="s">
        <v>41</v>
      </c>
      <c r="C39" s="6" t="s">
        <v>33</v>
      </c>
      <c r="D39" s="6" t="s">
        <v>47</v>
      </c>
      <c r="E39" s="7" t="s">
        <v>85</v>
      </c>
      <c r="F39" s="6" t="s">
        <v>36</v>
      </c>
      <c r="G39" s="6" t="s">
        <v>47</v>
      </c>
      <c r="H39" s="7"/>
    </row>
    <row r="40" spans="1:8" ht="12.5">
      <c r="A40" s="6">
        <v>39</v>
      </c>
      <c r="B40" s="6" t="s">
        <v>41</v>
      </c>
      <c r="C40" s="6" t="s">
        <v>33</v>
      </c>
      <c r="D40" s="6" t="s">
        <v>47</v>
      </c>
      <c r="E40" s="7" t="s">
        <v>86</v>
      </c>
      <c r="F40" s="6" t="s">
        <v>36</v>
      </c>
      <c r="G40" s="6" t="s">
        <v>47</v>
      </c>
      <c r="H40" s="7"/>
    </row>
    <row r="41" spans="1:8" ht="12.5">
      <c r="A41" s="6">
        <v>40</v>
      </c>
      <c r="B41" s="6" t="s">
        <v>41</v>
      </c>
      <c r="C41" s="6" t="s">
        <v>33</v>
      </c>
      <c r="D41" s="6" t="s">
        <v>47</v>
      </c>
      <c r="E41" s="7" t="s">
        <v>87</v>
      </c>
      <c r="F41" s="6" t="s">
        <v>36</v>
      </c>
      <c r="G41" s="6" t="s">
        <v>47</v>
      </c>
      <c r="H41" s="7"/>
    </row>
    <row r="42" spans="1:8" ht="12.5">
      <c r="A42" s="6">
        <v>41</v>
      </c>
      <c r="B42" s="6" t="s">
        <v>41</v>
      </c>
      <c r="C42" s="6" t="s">
        <v>33</v>
      </c>
      <c r="D42" s="6" t="s">
        <v>47</v>
      </c>
      <c r="E42" s="7" t="s">
        <v>88</v>
      </c>
      <c r="F42" s="6" t="s">
        <v>36</v>
      </c>
      <c r="G42" s="6" t="s">
        <v>47</v>
      </c>
      <c r="H42" s="7"/>
    </row>
    <row r="43" spans="1:8" ht="12.5">
      <c r="A43" s="6">
        <v>42</v>
      </c>
      <c r="B43" s="6" t="s">
        <v>41</v>
      </c>
      <c r="C43" s="6" t="s">
        <v>33</v>
      </c>
      <c r="D43" s="6" t="s">
        <v>47</v>
      </c>
      <c r="E43" s="7" t="s">
        <v>89</v>
      </c>
      <c r="F43" s="6" t="s">
        <v>36</v>
      </c>
      <c r="G43" s="6" t="s">
        <v>47</v>
      </c>
      <c r="H43" s="7"/>
    </row>
    <row r="44" spans="1:8" ht="12.5">
      <c r="A44" s="6">
        <v>43</v>
      </c>
      <c r="B44" s="6" t="s">
        <v>41</v>
      </c>
      <c r="C44" s="6" t="s">
        <v>33</v>
      </c>
      <c r="D44" s="6" t="s">
        <v>47</v>
      </c>
      <c r="E44" s="7" t="s">
        <v>90</v>
      </c>
      <c r="F44" s="6" t="s">
        <v>36</v>
      </c>
      <c r="G44" s="6" t="s">
        <v>47</v>
      </c>
      <c r="H44" s="7"/>
    </row>
    <row r="45" spans="1:8" ht="12.5">
      <c r="A45" s="6">
        <v>44</v>
      </c>
      <c r="B45" s="6" t="s">
        <v>41</v>
      </c>
      <c r="C45" s="6" t="s">
        <v>33</v>
      </c>
      <c r="D45" s="6" t="s">
        <v>47</v>
      </c>
      <c r="E45" s="7" t="s">
        <v>91</v>
      </c>
      <c r="F45" s="6" t="s">
        <v>36</v>
      </c>
      <c r="G45" s="6" t="s">
        <v>47</v>
      </c>
      <c r="H45" s="7"/>
    </row>
    <row r="46" spans="1:8" ht="12.5">
      <c r="A46" s="6">
        <v>45</v>
      </c>
      <c r="B46" s="6" t="s">
        <v>41</v>
      </c>
      <c r="C46" s="6" t="s">
        <v>33</v>
      </c>
      <c r="D46" s="6" t="s">
        <v>47</v>
      </c>
      <c r="E46" s="7" t="s">
        <v>92</v>
      </c>
      <c r="F46" s="6" t="s">
        <v>36</v>
      </c>
      <c r="G46" s="6" t="s">
        <v>47</v>
      </c>
      <c r="H46" s="7"/>
    </row>
    <row r="47" spans="1:8" ht="12.5">
      <c r="A47" s="6">
        <v>46</v>
      </c>
      <c r="B47" s="6" t="s">
        <v>41</v>
      </c>
      <c r="C47" s="6" t="s">
        <v>33</v>
      </c>
      <c r="D47" s="6" t="s">
        <v>47</v>
      </c>
      <c r="E47" s="7" t="s">
        <v>56</v>
      </c>
      <c r="F47" s="6" t="s">
        <v>36</v>
      </c>
      <c r="G47" s="6" t="s">
        <v>47</v>
      </c>
      <c r="H47" s="7"/>
    </row>
    <row r="48" spans="1:8" ht="12.5">
      <c r="A48" s="6">
        <v>47</v>
      </c>
      <c r="B48" s="6" t="s">
        <v>41</v>
      </c>
      <c r="C48" s="6" t="s">
        <v>33</v>
      </c>
      <c r="D48" s="6" t="s">
        <v>47</v>
      </c>
      <c r="E48" s="7" t="s">
        <v>55</v>
      </c>
      <c r="F48" s="6" t="s">
        <v>36</v>
      </c>
      <c r="G48" s="6" t="s">
        <v>47</v>
      </c>
      <c r="H48" s="7"/>
    </row>
    <row r="49" spans="1:8" ht="12.5">
      <c r="A49" s="6">
        <v>48</v>
      </c>
      <c r="B49" s="6" t="s">
        <v>41</v>
      </c>
      <c r="C49" s="6" t="s">
        <v>33</v>
      </c>
      <c r="D49" s="6" t="s">
        <v>47</v>
      </c>
      <c r="E49" s="7" t="s">
        <v>54</v>
      </c>
      <c r="F49" s="6" t="s">
        <v>36</v>
      </c>
      <c r="G49" s="6" t="s">
        <v>47</v>
      </c>
      <c r="H49" s="7"/>
    </row>
    <row r="50" spans="1:8" ht="12.5">
      <c r="A50" s="6">
        <v>49</v>
      </c>
      <c r="B50" s="6" t="s">
        <v>41</v>
      </c>
      <c r="C50" s="6" t="s">
        <v>33</v>
      </c>
      <c r="D50" s="6" t="s">
        <v>47</v>
      </c>
      <c r="E50" s="7" t="s">
        <v>93</v>
      </c>
      <c r="F50" s="6" t="s">
        <v>36</v>
      </c>
      <c r="G50" s="6" t="s">
        <v>47</v>
      </c>
      <c r="H50" s="7"/>
    </row>
    <row r="51" spans="1:8" ht="12.5">
      <c r="A51" s="6">
        <v>50</v>
      </c>
      <c r="B51" s="6" t="s">
        <v>41</v>
      </c>
      <c r="C51" s="6" t="s">
        <v>33</v>
      </c>
      <c r="D51" s="6" t="s">
        <v>47</v>
      </c>
      <c r="E51" s="7" t="s">
        <v>94</v>
      </c>
      <c r="F51" s="6" t="s">
        <v>36</v>
      </c>
      <c r="G51" s="6" t="s">
        <v>47</v>
      </c>
      <c r="H51" s="7"/>
    </row>
    <row r="52" spans="1:8" ht="12.5">
      <c r="A52" s="6">
        <v>51</v>
      </c>
      <c r="B52" s="7"/>
      <c r="C52" s="7"/>
      <c r="D52" s="7"/>
      <c r="E52" s="7"/>
      <c r="F52" s="7"/>
      <c r="G52" s="7"/>
      <c r="H52" s="7"/>
    </row>
    <row r="53" spans="1:8" ht="12.5">
      <c r="A53" s="6">
        <v>52</v>
      </c>
      <c r="B53" s="7"/>
      <c r="C53" s="7"/>
      <c r="D53" s="7"/>
      <c r="E53" s="7"/>
      <c r="F53" s="7"/>
      <c r="G53" s="7"/>
      <c r="H53" s="7"/>
    </row>
    <row r="54" spans="1:8" ht="12.5">
      <c r="A54" s="6">
        <v>53</v>
      </c>
      <c r="B54" s="7"/>
      <c r="C54" s="7"/>
      <c r="D54" s="7"/>
      <c r="E54" s="7"/>
      <c r="F54" s="7"/>
      <c r="G54" s="7"/>
      <c r="H54" s="7"/>
    </row>
    <row r="55" spans="1:8" ht="12.5">
      <c r="A55" s="6">
        <v>54</v>
      </c>
      <c r="B55" s="7"/>
      <c r="C55" s="7"/>
      <c r="D55" s="7"/>
      <c r="E55" s="7"/>
      <c r="F55" s="7"/>
      <c r="G55" s="7"/>
      <c r="H55" s="7"/>
    </row>
    <row r="56" spans="1:8" ht="12.5">
      <c r="A56" s="6">
        <v>55</v>
      </c>
      <c r="B56" s="7"/>
      <c r="C56" s="7"/>
      <c r="D56" s="7"/>
      <c r="E56" s="7"/>
      <c r="F56" s="7"/>
      <c r="G56" s="7"/>
      <c r="H56" s="7"/>
    </row>
    <row r="57" spans="1:8" ht="12.5">
      <c r="A57" s="6">
        <v>56</v>
      </c>
      <c r="B57" s="7"/>
      <c r="C57" s="7"/>
      <c r="D57" s="7"/>
      <c r="E57" s="7"/>
      <c r="F57" s="7"/>
      <c r="G57" s="7"/>
      <c r="H57" s="7"/>
    </row>
    <row r="58" spans="1:8" ht="12.5">
      <c r="A58" s="6">
        <v>57</v>
      </c>
      <c r="B58" s="7"/>
      <c r="C58" s="7"/>
      <c r="D58" s="7"/>
      <c r="E58" s="7"/>
      <c r="F58" s="7"/>
      <c r="G58" s="7"/>
      <c r="H58" s="7"/>
    </row>
    <row r="59" spans="1:8" ht="12.5">
      <c r="A59" s="6">
        <v>58</v>
      </c>
      <c r="B59" s="7"/>
      <c r="C59" s="7"/>
      <c r="D59" s="7"/>
      <c r="E59" s="7"/>
      <c r="F59" s="7"/>
      <c r="G59" s="7"/>
      <c r="H59" s="7"/>
    </row>
    <row r="60" spans="1:8" ht="12.5">
      <c r="A60" s="6">
        <v>59</v>
      </c>
      <c r="B60" s="7"/>
      <c r="C60" s="7"/>
      <c r="D60" s="7"/>
      <c r="E60" s="7"/>
      <c r="F60" s="7"/>
      <c r="G60" s="7"/>
      <c r="H60" s="7"/>
    </row>
    <row r="61" spans="1:8" ht="12.5">
      <c r="A61" s="6">
        <v>60</v>
      </c>
      <c r="B61" s="7"/>
      <c r="C61" s="7"/>
      <c r="D61" s="7"/>
      <c r="E61" s="7"/>
      <c r="F61" s="7"/>
      <c r="G61" s="7"/>
      <c r="H61" s="7"/>
    </row>
    <row r="62" spans="1:8" ht="12.5">
      <c r="A62" s="6">
        <v>61</v>
      </c>
      <c r="B62" s="7"/>
      <c r="C62" s="7"/>
      <c r="D62" s="7"/>
      <c r="E62" s="7"/>
      <c r="F62" s="7"/>
      <c r="G62" s="7"/>
      <c r="H62" s="7"/>
    </row>
    <row r="63" spans="1:8" ht="12.5">
      <c r="A63" s="6">
        <v>62</v>
      </c>
      <c r="B63" s="7"/>
      <c r="C63" s="7"/>
      <c r="D63" s="7"/>
      <c r="E63" s="7"/>
      <c r="F63" s="7"/>
      <c r="G63" s="7"/>
      <c r="H63" s="7"/>
    </row>
    <row r="64" spans="1:8" ht="12.5">
      <c r="A64" s="6">
        <v>63</v>
      </c>
      <c r="B64" s="7"/>
      <c r="C64" s="7"/>
      <c r="D64" s="7"/>
      <c r="E64" s="7"/>
      <c r="F64" s="7"/>
      <c r="G64" s="7"/>
      <c r="H64" s="7"/>
    </row>
    <row r="65" spans="1:8" ht="12.5">
      <c r="A65" s="6">
        <v>64</v>
      </c>
      <c r="B65" s="7"/>
      <c r="C65" s="7"/>
      <c r="D65" s="7"/>
      <c r="E65" s="7"/>
      <c r="F65" s="7"/>
      <c r="G65" s="7"/>
      <c r="H65" s="7"/>
    </row>
    <row r="66" spans="1:8" ht="12.5">
      <c r="A66" s="6">
        <v>65</v>
      </c>
      <c r="B66" s="7"/>
      <c r="C66" s="7"/>
      <c r="D66" s="7"/>
      <c r="E66" s="7"/>
      <c r="F66" s="7"/>
      <c r="G66" s="7"/>
      <c r="H66" s="7"/>
    </row>
    <row r="67" spans="1:8" ht="12.5">
      <c r="A67" s="6">
        <v>66</v>
      </c>
      <c r="B67" s="7"/>
      <c r="C67" s="7"/>
      <c r="D67" s="7"/>
      <c r="E67" s="7"/>
      <c r="F67" s="7"/>
      <c r="G67" s="7"/>
      <c r="H67" s="7"/>
    </row>
    <row r="68" spans="1:8" ht="12.5">
      <c r="A68" s="6">
        <v>67</v>
      </c>
      <c r="B68" s="7"/>
      <c r="C68" s="7"/>
      <c r="D68" s="7"/>
      <c r="E68" s="7"/>
      <c r="F68" s="7"/>
      <c r="G68" s="7"/>
      <c r="H68" s="7"/>
    </row>
    <row r="69" spans="1:8" ht="12.5">
      <c r="A69" s="6">
        <v>68</v>
      </c>
      <c r="B69" s="7"/>
      <c r="C69" s="7"/>
      <c r="D69" s="7"/>
      <c r="E69" s="7"/>
      <c r="F69" s="7"/>
      <c r="G69" s="7"/>
      <c r="H69" s="7"/>
    </row>
    <row r="70" spans="1:8" ht="12.5">
      <c r="A70" s="6">
        <v>69</v>
      </c>
      <c r="B70" s="7"/>
      <c r="C70" s="7"/>
      <c r="D70" s="7"/>
      <c r="E70" s="7"/>
      <c r="F70" s="7"/>
      <c r="G70" s="7"/>
      <c r="H70" s="7"/>
    </row>
    <row r="71" spans="1:8" ht="12.5">
      <c r="A71" s="6">
        <v>70</v>
      </c>
      <c r="B71" s="7"/>
      <c r="C71" s="7"/>
      <c r="D71" s="7"/>
      <c r="E71" s="7"/>
      <c r="F71" s="7"/>
      <c r="G71" s="7"/>
      <c r="H71" s="7"/>
    </row>
    <row r="72" spans="1:8" ht="12.5">
      <c r="A72" s="6">
        <v>71</v>
      </c>
      <c r="B72" s="7"/>
      <c r="C72" s="7"/>
      <c r="D72" s="7"/>
      <c r="E72" s="7"/>
      <c r="F72" s="7"/>
      <c r="G72" s="7"/>
      <c r="H72" s="7"/>
    </row>
    <row r="73" spans="1:8" ht="12.5">
      <c r="A73" s="6">
        <v>72</v>
      </c>
      <c r="B73" s="7"/>
      <c r="C73" s="7"/>
      <c r="D73" s="7"/>
      <c r="E73" s="7"/>
      <c r="F73" s="7"/>
      <c r="G73" s="7"/>
      <c r="H73" s="7"/>
    </row>
    <row r="74" spans="1:8" ht="12.5">
      <c r="A74" s="6">
        <v>73</v>
      </c>
      <c r="B74" s="7"/>
      <c r="C74" s="7"/>
      <c r="D74" s="7"/>
      <c r="E74" s="7"/>
      <c r="F74" s="7"/>
      <c r="G74" s="7"/>
      <c r="H74" s="7"/>
    </row>
    <row r="75" spans="1:8" ht="12.5">
      <c r="A75" s="6">
        <v>74</v>
      </c>
      <c r="B75" s="7"/>
      <c r="C75" s="7"/>
      <c r="D75" s="7"/>
      <c r="E75" s="7"/>
      <c r="F75" s="7"/>
      <c r="G75" s="7"/>
      <c r="H75" s="7"/>
    </row>
    <row r="76" spans="1:8" ht="12.5">
      <c r="A76" s="6">
        <v>75</v>
      </c>
      <c r="B76" s="7"/>
      <c r="C76" s="7"/>
      <c r="D76" s="7"/>
      <c r="E76" s="7"/>
      <c r="F76" s="7"/>
      <c r="G76" s="7"/>
      <c r="H76" s="7"/>
    </row>
    <row r="77" spans="1:8" ht="12.5">
      <c r="A77" s="6">
        <v>76</v>
      </c>
      <c r="B77" s="7"/>
      <c r="C77" s="7"/>
      <c r="D77" s="7"/>
      <c r="E77" s="7"/>
      <c r="F77" s="7"/>
      <c r="G77" s="7"/>
      <c r="H77" s="7"/>
    </row>
    <row r="78" spans="1:8" ht="12.5">
      <c r="A78" s="6">
        <v>77</v>
      </c>
      <c r="B78" s="7"/>
      <c r="C78" s="7"/>
      <c r="D78" s="7"/>
      <c r="E78" s="7"/>
      <c r="F78" s="7"/>
      <c r="G78" s="7"/>
      <c r="H78" s="7"/>
    </row>
    <row r="79" spans="1:8" ht="12.5">
      <c r="A79" s="6">
        <v>78</v>
      </c>
      <c r="B79" s="7"/>
      <c r="C79" s="7"/>
      <c r="D79" s="7"/>
      <c r="E79" s="7"/>
      <c r="F79" s="7"/>
      <c r="G79" s="7"/>
      <c r="H79" s="7"/>
    </row>
    <row r="80" spans="1:8" ht="12.5">
      <c r="A80" s="6">
        <v>79</v>
      </c>
      <c r="B80" s="7"/>
      <c r="C80" s="7"/>
      <c r="D80" s="7"/>
      <c r="E80" s="7"/>
      <c r="F80" s="7"/>
      <c r="G80" s="7"/>
      <c r="H80" s="7"/>
    </row>
    <row r="81" spans="1:8" ht="12.5">
      <c r="A81" s="6">
        <v>80</v>
      </c>
      <c r="B81" s="7"/>
      <c r="C81" s="7"/>
      <c r="D81" s="7"/>
      <c r="E81" s="7"/>
      <c r="F81" s="7"/>
      <c r="G81" s="7"/>
      <c r="H81" s="7"/>
    </row>
    <row r="82" spans="1:8" ht="12.5">
      <c r="A82" s="6">
        <v>81</v>
      </c>
      <c r="B82" s="7"/>
      <c r="C82" s="7"/>
      <c r="D82" s="7"/>
      <c r="E82" s="7"/>
      <c r="F82" s="7"/>
      <c r="G82" s="7"/>
      <c r="H82" s="7"/>
    </row>
    <row r="83" spans="1:8" ht="12.5">
      <c r="A83" s="6">
        <v>82</v>
      </c>
      <c r="B83" s="7"/>
      <c r="C83" s="7"/>
      <c r="D83" s="7"/>
      <c r="E83" s="7"/>
      <c r="F83" s="7"/>
      <c r="G83" s="7"/>
      <c r="H83" s="7"/>
    </row>
    <row r="84" spans="1:8" ht="12.5">
      <c r="A84" s="6">
        <v>83</v>
      </c>
      <c r="B84" s="7"/>
      <c r="C84" s="7"/>
      <c r="D84" s="7"/>
      <c r="E84" s="7"/>
      <c r="F84" s="7"/>
      <c r="G84" s="7"/>
      <c r="H84" s="7"/>
    </row>
    <row r="85" spans="1:8" ht="12.5">
      <c r="A85" s="6">
        <v>84</v>
      </c>
      <c r="B85" s="7"/>
      <c r="C85" s="7"/>
      <c r="D85" s="7"/>
      <c r="E85" s="7"/>
      <c r="F85" s="7"/>
      <c r="G85" s="7"/>
      <c r="H85" s="7"/>
    </row>
    <row r="86" spans="1:8" ht="12.5">
      <c r="A86" s="6">
        <v>85</v>
      </c>
      <c r="B86" s="7"/>
      <c r="C86" s="7"/>
      <c r="D86" s="7"/>
      <c r="E86" s="7"/>
      <c r="F86" s="7"/>
      <c r="G86" s="7"/>
      <c r="H86" s="7"/>
    </row>
    <row r="87" spans="1:8" ht="12.5">
      <c r="A87" s="6">
        <v>86</v>
      </c>
      <c r="B87" s="7"/>
      <c r="C87" s="7"/>
      <c r="D87" s="7"/>
      <c r="E87" s="7"/>
      <c r="F87" s="7"/>
      <c r="G87" s="7"/>
      <c r="H87" s="7"/>
    </row>
    <row r="88" spans="1:8" ht="12.5">
      <c r="A88" s="6">
        <v>87</v>
      </c>
      <c r="B88" s="7"/>
      <c r="C88" s="7"/>
      <c r="D88" s="7"/>
      <c r="E88" s="7"/>
      <c r="F88" s="7"/>
      <c r="G88" s="7"/>
      <c r="H88" s="7"/>
    </row>
    <row r="89" spans="1:8" ht="12.5">
      <c r="A89" s="6">
        <v>88</v>
      </c>
      <c r="B89" s="7"/>
      <c r="C89" s="7"/>
      <c r="D89" s="7"/>
      <c r="E89" s="7"/>
      <c r="F89" s="7"/>
      <c r="G89" s="7"/>
      <c r="H89" s="7"/>
    </row>
    <row r="90" spans="1:8" ht="12.5">
      <c r="A90" s="6">
        <v>89</v>
      </c>
      <c r="B90" s="7"/>
      <c r="C90" s="7"/>
      <c r="D90" s="7"/>
      <c r="E90" s="7"/>
      <c r="F90" s="7"/>
      <c r="G90" s="7"/>
      <c r="H90" s="7"/>
    </row>
    <row r="91" spans="1:8" ht="12.5">
      <c r="A91" s="6">
        <v>90</v>
      </c>
      <c r="B91" s="7"/>
      <c r="C91" s="7"/>
      <c r="D91" s="7"/>
      <c r="E91" s="7"/>
      <c r="F91" s="7"/>
      <c r="G91" s="7"/>
      <c r="H91" s="7"/>
    </row>
    <row r="92" spans="1:8" ht="12.5">
      <c r="A92" s="6">
        <v>91</v>
      </c>
      <c r="B92" s="7"/>
      <c r="C92" s="7"/>
      <c r="D92" s="7"/>
      <c r="E92" s="7"/>
      <c r="F92" s="7"/>
      <c r="G92" s="7"/>
      <c r="H92" s="7"/>
    </row>
    <row r="93" spans="1:8" ht="12.5">
      <c r="A93" s="6">
        <v>92</v>
      </c>
      <c r="B93" s="7"/>
      <c r="C93" s="7"/>
      <c r="D93" s="7"/>
      <c r="E93" s="7"/>
      <c r="F93" s="7"/>
      <c r="G93" s="7"/>
      <c r="H93" s="7"/>
    </row>
    <row r="94" spans="1:8" ht="12.5">
      <c r="A94" s="6">
        <v>93</v>
      </c>
      <c r="B94" s="7"/>
      <c r="C94" s="7"/>
      <c r="D94" s="7"/>
      <c r="E94" s="7"/>
      <c r="F94" s="7"/>
      <c r="G94" s="7"/>
      <c r="H94" s="7"/>
    </row>
    <row r="95" spans="1:8" ht="12.5">
      <c r="A95" s="6">
        <v>94</v>
      </c>
      <c r="B95" s="7"/>
      <c r="C95" s="7"/>
      <c r="D95" s="7"/>
      <c r="E95" s="7"/>
      <c r="F95" s="7"/>
      <c r="G95" s="7"/>
      <c r="H95" s="7"/>
    </row>
    <row r="96" spans="1:8" ht="12.5">
      <c r="A96" s="6">
        <v>95</v>
      </c>
      <c r="B96" s="7"/>
      <c r="C96" s="7"/>
      <c r="D96" s="7"/>
      <c r="E96" s="7"/>
      <c r="F96" s="7"/>
      <c r="G96" s="7"/>
      <c r="H96" s="7"/>
    </row>
    <row r="97" spans="1:8" ht="12.5">
      <c r="A97" s="6">
        <v>96</v>
      </c>
      <c r="B97" s="7"/>
      <c r="C97" s="7"/>
      <c r="D97" s="7"/>
      <c r="E97" s="7"/>
      <c r="F97" s="7"/>
      <c r="G97" s="7"/>
      <c r="H97" s="7"/>
    </row>
    <row r="98" spans="1:8" ht="12.5">
      <c r="A98" s="6">
        <v>97</v>
      </c>
      <c r="B98" s="7"/>
      <c r="C98" s="7"/>
      <c r="D98" s="7"/>
      <c r="E98" s="7"/>
      <c r="F98" s="7"/>
      <c r="G98" s="7"/>
      <c r="H98" s="7"/>
    </row>
    <row r="99" spans="1:8" ht="12.5">
      <c r="A99" s="6">
        <v>98</v>
      </c>
      <c r="B99" s="7"/>
      <c r="C99" s="7"/>
      <c r="D99" s="7"/>
      <c r="E99" s="7"/>
      <c r="F99" s="7"/>
      <c r="G99" s="7"/>
      <c r="H99" s="7"/>
    </row>
    <row r="100" spans="1:8" ht="12.5">
      <c r="A100" s="6">
        <v>99</v>
      </c>
      <c r="B100" s="7"/>
      <c r="C100" s="7"/>
      <c r="D100" s="7"/>
      <c r="E100" s="7"/>
      <c r="F100" s="7"/>
      <c r="G100" s="7"/>
      <c r="H100" s="7"/>
    </row>
    <row r="101" spans="1:8" ht="12.5">
      <c r="A101" s="6">
        <v>100</v>
      </c>
      <c r="B101" s="7"/>
      <c r="C101" s="7"/>
      <c r="D101" s="7"/>
      <c r="E101" s="7"/>
      <c r="F101" s="7"/>
      <c r="G101" s="7"/>
      <c r="H101" s="7"/>
    </row>
    <row r="102" spans="1:8" ht="12.5">
      <c r="A102" s="6">
        <v>101</v>
      </c>
      <c r="B102" s="7"/>
      <c r="C102" s="7"/>
      <c r="D102" s="7"/>
      <c r="E102" s="7"/>
      <c r="F102" s="7"/>
      <c r="G102" s="7"/>
      <c r="H102" s="7"/>
    </row>
    <row r="103" spans="1:8" ht="12.5">
      <c r="A103" s="6">
        <v>102</v>
      </c>
      <c r="B103" s="7"/>
      <c r="C103" s="7"/>
      <c r="D103" s="7"/>
      <c r="E103" s="7"/>
      <c r="F103" s="7"/>
      <c r="G103" s="7"/>
      <c r="H103" s="7"/>
    </row>
    <row r="104" spans="1:8" ht="12.5">
      <c r="A104" s="6">
        <v>103</v>
      </c>
      <c r="B104" s="7"/>
      <c r="C104" s="7"/>
      <c r="D104" s="7"/>
      <c r="E104" s="7"/>
      <c r="F104" s="7"/>
      <c r="G104" s="7"/>
      <c r="H104" s="7"/>
    </row>
    <row r="105" spans="1:8" ht="12.5">
      <c r="A105" s="6">
        <v>104</v>
      </c>
      <c r="B105" s="7"/>
      <c r="C105" s="7"/>
      <c r="D105" s="7"/>
      <c r="E105" s="7"/>
      <c r="F105" s="7"/>
      <c r="G105" s="7"/>
      <c r="H105" s="7"/>
    </row>
    <row r="106" spans="1:8" ht="12.5">
      <c r="A106" s="6">
        <v>105</v>
      </c>
      <c r="B106" s="7"/>
      <c r="C106" s="7"/>
      <c r="D106" s="7"/>
      <c r="E106" s="7"/>
      <c r="F106" s="7"/>
      <c r="G106" s="7"/>
      <c r="H106" s="7"/>
    </row>
    <row r="107" spans="1:8" ht="12.5">
      <c r="A107" s="6">
        <v>106</v>
      </c>
      <c r="B107" s="7"/>
      <c r="C107" s="7"/>
      <c r="D107" s="7"/>
      <c r="E107" s="7"/>
      <c r="F107" s="7"/>
      <c r="G107" s="7"/>
      <c r="H107" s="7"/>
    </row>
    <row r="108" spans="1:8" ht="12.5">
      <c r="A108" s="6">
        <v>107</v>
      </c>
      <c r="B108" s="7"/>
      <c r="C108" s="7"/>
      <c r="D108" s="7"/>
      <c r="E108" s="7"/>
      <c r="F108" s="7"/>
      <c r="G108" s="7"/>
      <c r="H108" s="7"/>
    </row>
    <row r="109" spans="1:8" ht="12.5">
      <c r="A109" s="6">
        <v>108</v>
      </c>
      <c r="B109" s="7"/>
      <c r="C109" s="7"/>
      <c r="D109" s="7"/>
      <c r="E109" s="7"/>
      <c r="F109" s="7"/>
      <c r="G109" s="7"/>
      <c r="H109" s="7"/>
    </row>
    <row r="110" spans="1:8" ht="12.5">
      <c r="A110" s="6">
        <v>109</v>
      </c>
      <c r="B110" s="7"/>
      <c r="C110" s="7"/>
      <c r="D110" s="7"/>
      <c r="E110" s="7"/>
      <c r="F110" s="7"/>
      <c r="G110" s="7"/>
      <c r="H110" s="7"/>
    </row>
    <row r="111" spans="1:8" ht="12.5">
      <c r="A111" s="6">
        <v>110</v>
      </c>
      <c r="B111" s="7"/>
      <c r="C111" s="7"/>
      <c r="D111" s="7"/>
      <c r="E111" s="7"/>
      <c r="F111" s="7"/>
      <c r="G111" s="7"/>
      <c r="H111" s="7"/>
    </row>
    <row r="112" spans="1:8" ht="12.5">
      <c r="A112" s="6">
        <v>111</v>
      </c>
      <c r="B112" s="7"/>
      <c r="C112" s="7"/>
      <c r="D112" s="7"/>
      <c r="E112" s="7"/>
      <c r="F112" s="7"/>
      <c r="G112" s="7"/>
      <c r="H112" s="7"/>
    </row>
    <row r="113" spans="1:8" ht="12.5">
      <c r="A113" s="6">
        <v>112</v>
      </c>
      <c r="B113" s="7"/>
      <c r="C113" s="7"/>
      <c r="D113" s="7"/>
      <c r="E113" s="7"/>
      <c r="F113" s="7"/>
      <c r="G113" s="7"/>
      <c r="H113" s="7"/>
    </row>
    <row r="114" spans="1:8" ht="12.5">
      <c r="A114" s="6">
        <v>113</v>
      </c>
      <c r="B114" s="7"/>
      <c r="C114" s="7"/>
      <c r="D114" s="7"/>
      <c r="E114" s="7"/>
      <c r="F114" s="7"/>
      <c r="G114" s="7"/>
      <c r="H114" s="7"/>
    </row>
    <row r="115" spans="1:8" ht="12.5">
      <c r="A115" s="6">
        <v>114</v>
      </c>
      <c r="B115" s="7"/>
      <c r="C115" s="7"/>
      <c r="D115" s="7"/>
      <c r="E115" s="7"/>
      <c r="F115" s="7"/>
      <c r="G115" s="7"/>
      <c r="H115" s="7"/>
    </row>
    <row r="116" spans="1:8" ht="12.5">
      <c r="A116" s="6">
        <v>115</v>
      </c>
      <c r="B116" s="7"/>
      <c r="C116" s="7"/>
      <c r="D116" s="7"/>
      <c r="E116" s="7"/>
      <c r="F116" s="7"/>
      <c r="G116" s="7"/>
      <c r="H116" s="7"/>
    </row>
    <row r="117" spans="1:8" ht="12.5">
      <c r="A117" s="6">
        <v>116</v>
      </c>
      <c r="B117" s="7"/>
      <c r="C117" s="7"/>
      <c r="D117" s="7"/>
      <c r="E117" s="7"/>
      <c r="F117" s="7"/>
      <c r="G117" s="7"/>
      <c r="H117" s="7"/>
    </row>
    <row r="118" spans="1:8" ht="12.5">
      <c r="A118" s="6">
        <v>117</v>
      </c>
      <c r="B118" s="7"/>
      <c r="C118" s="7"/>
      <c r="D118" s="7"/>
      <c r="E118" s="7"/>
      <c r="F118" s="7"/>
      <c r="G118" s="7"/>
      <c r="H118" s="7"/>
    </row>
    <row r="119" spans="1:8" ht="12.5">
      <c r="A119" s="6">
        <v>118</v>
      </c>
      <c r="B119" s="7"/>
      <c r="C119" s="7"/>
      <c r="D119" s="7"/>
      <c r="E119" s="7"/>
      <c r="F119" s="7"/>
      <c r="G119" s="7"/>
      <c r="H119" s="7"/>
    </row>
    <row r="120" spans="1:8" ht="12.5">
      <c r="A120" s="6">
        <v>119</v>
      </c>
      <c r="B120" s="7"/>
      <c r="C120" s="7"/>
      <c r="D120" s="7"/>
      <c r="E120" s="7"/>
      <c r="F120" s="7"/>
      <c r="G120" s="7"/>
      <c r="H120" s="7"/>
    </row>
    <row r="121" spans="1:8" ht="12.5">
      <c r="A121" s="6">
        <v>120</v>
      </c>
      <c r="B121" s="7"/>
      <c r="C121" s="7"/>
      <c r="D121" s="7"/>
      <c r="E121" s="7"/>
      <c r="F121" s="7"/>
      <c r="G121" s="7"/>
      <c r="H121" s="7"/>
    </row>
    <row r="122" spans="1:8" ht="12.5">
      <c r="A122" s="6">
        <v>121</v>
      </c>
      <c r="B122" s="7"/>
      <c r="C122" s="7"/>
      <c r="D122" s="7"/>
      <c r="E122" s="7"/>
      <c r="F122" s="7"/>
      <c r="G122" s="7"/>
      <c r="H122" s="7"/>
    </row>
    <row r="123" spans="1:8" ht="12.5">
      <c r="A123" s="6">
        <v>122</v>
      </c>
      <c r="B123" s="7"/>
      <c r="C123" s="7"/>
      <c r="D123" s="7"/>
      <c r="E123" s="7"/>
      <c r="F123" s="7"/>
      <c r="G123" s="7"/>
      <c r="H123" s="7"/>
    </row>
    <row r="124" spans="1:8" ht="12.5">
      <c r="A124" s="6">
        <v>123</v>
      </c>
      <c r="B124" s="7"/>
      <c r="C124" s="7"/>
      <c r="D124" s="7"/>
      <c r="E124" s="7"/>
      <c r="F124" s="7"/>
      <c r="G124" s="7"/>
      <c r="H124" s="7"/>
    </row>
    <row r="125" spans="1:8" ht="12.5">
      <c r="A125" s="6">
        <v>124</v>
      </c>
      <c r="B125" s="7"/>
      <c r="C125" s="7"/>
      <c r="D125" s="7"/>
      <c r="E125" s="7"/>
      <c r="F125" s="7"/>
      <c r="G125" s="7"/>
      <c r="H125" s="7"/>
    </row>
    <row r="126" spans="1:8" ht="12.5">
      <c r="A126" s="6">
        <v>125</v>
      </c>
      <c r="B126" s="7"/>
      <c r="C126" s="7"/>
      <c r="D126" s="7"/>
      <c r="E126" s="7"/>
      <c r="F126" s="7"/>
      <c r="G126" s="7"/>
      <c r="H126" s="7"/>
    </row>
    <row r="127" spans="1:8" ht="12.5">
      <c r="A127" s="6">
        <v>126</v>
      </c>
      <c r="B127" s="7"/>
      <c r="C127" s="7"/>
      <c r="D127" s="7"/>
      <c r="E127" s="7"/>
      <c r="F127" s="7"/>
      <c r="G127" s="7"/>
      <c r="H127" s="7"/>
    </row>
    <row r="128" spans="1:8" ht="12.5">
      <c r="A128" s="6">
        <v>127</v>
      </c>
      <c r="B128" s="7"/>
      <c r="C128" s="7"/>
      <c r="D128" s="7"/>
      <c r="E128" s="7"/>
      <c r="F128" s="7"/>
      <c r="G128" s="7"/>
      <c r="H128" s="7"/>
    </row>
    <row r="129" spans="1:8" ht="12.5">
      <c r="A129" s="6">
        <v>128</v>
      </c>
      <c r="B129" s="7"/>
      <c r="C129" s="7"/>
      <c r="D129" s="7"/>
      <c r="E129" s="7"/>
      <c r="F129" s="7"/>
      <c r="G129" s="7"/>
      <c r="H129" s="7"/>
    </row>
    <row r="130" spans="1:8" ht="12.5">
      <c r="A130" s="6">
        <v>129</v>
      </c>
      <c r="B130" s="7"/>
      <c r="C130" s="7"/>
      <c r="D130" s="7"/>
      <c r="E130" s="7"/>
      <c r="F130" s="7"/>
      <c r="G130" s="7"/>
      <c r="H130" s="7"/>
    </row>
    <row r="131" spans="1:8" ht="12.5">
      <c r="A131" s="6">
        <v>130</v>
      </c>
      <c r="B131" s="7"/>
      <c r="C131" s="7"/>
      <c r="D131" s="7"/>
      <c r="E131" s="7"/>
      <c r="F131" s="7"/>
      <c r="G131" s="7"/>
      <c r="H131" s="7"/>
    </row>
    <row r="132" spans="1:8" ht="12.5">
      <c r="A132" s="6">
        <v>131</v>
      </c>
      <c r="B132" s="7"/>
      <c r="C132" s="7"/>
      <c r="D132" s="7"/>
      <c r="E132" s="7"/>
      <c r="F132" s="7"/>
      <c r="G132" s="7"/>
      <c r="H132" s="7"/>
    </row>
    <row r="133" spans="1:8" ht="12.5">
      <c r="A133" s="6">
        <v>132</v>
      </c>
      <c r="B133" s="7"/>
      <c r="C133" s="7"/>
      <c r="D133" s="7"/>
      <c r="E133" s="7"/>
      <c r="F133" s="7"/>
      <c r="G133" s="7"/>
      <c r="H133" s="7"/>
    </row>
    <row r="134" spans="1:8" ht="12.5">
      <c r="A134" s="6">
        <v>133</v>
      </c>
      <c r="B134" s="7"/>
      <c r="C134" s="7"/>
      <c r="D134" s="7"/>
      <c r="E134" s="7"/>
      <c r="F134" s="7"/>
      <c r="G134" s="7"/>
      <c r="H134" s="7"/>
    </row>
    <row r="135" spans="1:8" ht="12.5">
      <c r="A135" s="6">
        <v>134</v>
      </c>
      <c r="B135" s="7"/>
      <c r="C135" s="7"/>
      <c r="D135" s="7"/>
      <c r="E135" s="7"/>
      <c r="F135" s="7"/>
      <c r="G135" s="7"/>
      <c r="H135" s="7"/>
    </row>
    <row r="136" spans="1:8" ht="12.5">
      <c r="A136" s="6">
        <v>135</v>
      </c>
      <c r="B136" s="7"/>
      <c r="C136" s="7"/>
      <c r="D136" s="7"/>
      <c r="E136" s="7"/>
      <c r="F136" s="7"/>
      <c r="G136" s="7"/>
      <c r="H136" s="7"/>
    </row>
    <row r="137" spans="1:8" ht="12.5">
      <c r="A137" s="6">
        <v>136</v>
      </c>
      <c r="B137" s="7"/>
      <c r="C137" s="7"/>
      <c r="D137" s="7"/>
      <c r="E137" s="7"/>
      <c r="F137" s="7"/>
      <c r="G137" s="7"/>
      <c r="H137" s="7"/>
    </row>
    <row r="138" spans="1:8" ht="12.5">
      <c r="A138" s="6">
        <v>137</v>
      </c>
      <c r="B138" s="7"/>
      <c r="C138" s="7"/>
      <c r="D138" s="7"/>
      <c r="E138" s="7"/>
      <c r="F138" s="7"/>
      <c r="G138" s="7"/>
      <c r="H138" s="7"/>
    </row>
    <row r="139" spans="1:8" ht="12.5">
      <c r="A139" s="6">
        <v>138</v>
      </c>
      <c r="B139" s="7"/>
      <c r="C139" s="7"/>
      <c r="D139" s="7"/>
      <c r="E139" s="7"/>
      <c r="F139" s="7"/>
      <c r="G139" s="7"/>
      <c r="H139" s="7"/>
    </row>
    <row r="140" spans="1:8" ht="12.5">
      <c r="A140" s="6">
        <v>139</v>
      </c>
      <c r="B140" s="7"/>
      <c r="C140" s="7"/>
      <c r="D140" s="7"/>
      <c r="E140" s="7"/>
      <c r="F140" s="7"/>
      <c r="G140" s="7"/>
      <c r="H140" s="7"/>
    </row>
    <row r="141" spans="1:8" ht="12.5">
      <c r="A141" s="6">
        <v>140</v>
      </c>
      <c r="B141" s="7"/>
      <c r="C141" s="7"/>
      <c r="D141" s="7"/>
      <c r="E141" s="7"/>
      <c r="F141" s="7"/>
      <c r="G141" s="7"/>
      <c r="H141" s="7"/>
    </row>
    <row r="142" spans="1:8" ht="12.5">
      <c r="A142" s="6">
        <v>141</v>
      </c>
      <c r="B142" s="7"/>
      <c r="C142" s="7"/>
      <c r="D142" s="7"/>
      <c r="E142" s="7"/>
      <c r="F142" s="7"/>
      <c r="G142" s="7"/>
      <c r="H142" s="7"/>
    </row>
    <row r="143" spans="1:8" ht="12.5">
      <c r="A143" s="6">
        <v>142</v>
      </c>
      <c r="B143" s="7"/>
      <c r="C143" s="7"/>
      <c r="D143" s="7"/>
      <c r="E143" s="7"/>
      <c r="F143" s="7"/>
      <c r="G143" s="7"/>
      <c r="H143" s="7"/>
    </row>
    <row r="144" spans="1:8" ht="12.5">
      <c r="A144" s="6">
        <v>143</v>
      </c>
      <c r="B144" s="7"/>
      <c r="C144" s="7"/>
      <c r="D144" s="7"/>
      <c r="E144" s="7"/>
      <c r="F144" s="7"/>
      <c r="G144" s="7"/>
      <c r="H144" s="7"/>
    </row>
    <row r="145" spans="1:8" ht="12.5">
      <c r="A145" s="6">
        <v>144</v>
      </c>
      <c r="B145" s="7"/>
      <c r="C145" s="7"/>
      <c r="D145" s="7"/>
      <c r="E145" s="7"/>
      <c r="F145" s="7"/>
      <c r="G145" s="7"/>
      <c r="H145" s="7"/>
    </row>
    <row r="146" spans="1:8" ht="12.5">
      <c r="A146" s="6">
        <v>145</v>
      </c>
      <c r="B146" s="7"/>
      <c r="C146" s="7"/>
      <c r="D146" s="7"/>
      <c r="E146" s="7"/>
      <c r="F146" s="7"/>
      <c r="G146" s="7"/>
      <c r="H146" s="7"/>
    </row>
    <row r="147" spans="1:8" ht="12.5">
      <c r="A147" s="6">
        <v>146</v>
      </c>
      <c r="B147" s="7"/>
      <c r="C147" s="7"/>
      <c r="D147" s="7"/>
      <c r="E147" s="7"/>
      <c r="F147" s="7"/>
      <c r="G147" s="7"/>
      <c r="H147" s="7"/>
    </row>
    <row r="148" spans="1:8" ht="12.5">
      <c r="A148" s="6">
        <v>147</v>
      </c>
      <c r="B148" s="7"/>
      <c r="C148" s="7"/>
      <c r="D148" s="7"/>
      <c r="E148" s="7"/>
      <c r="F148" s="7"/>
      <c r="G148" s="7"/>
      <c r="H148" s="7"/>
    </row>
    <row r="149" spans="1:8" ht="12.5">
      <c r="A149" s="6">
        <v>148</v>
      </c>
      <c r="B149" s="7"/>
      <c r="C149" s="7"/>
      <c r="D149" s="7"/>
      <c r="E149" s="7"/>
      <c r="F149" s="7"/>
      <c r="G149" s="7"/>
      <c r="H149" s="7"/>
    </row>
    <row r="150" spans="1:8" ht="12.5">
      <c r="A150" s="6">
        <v>149</v>
      </c>
      <c r="B150" s="7"/>
      <c r="C150" s="7"/>
      <c r="D150" s="7"/>
      <c r="E150" s="7"/>
      <c r="F150" s="7"/>
      <c r="G150" s="7"/>
      <c r="H150" s="7"/>
    </row>
    <row r="151" spans="1:8" ht="12.5">
      <c r="A151" s="6">
        <v>150</v>
      </c>
      <c r="B151" s="7"/>
      <c r="C151" s="7"/>
      <c r="D151" s="7"/>
      <c r="E151" s="7"/>
      <c r="F151" s="7"/>
      <c r="G151" s="7"/>
      <c r="H151" s="7"/>
    </row>
    <row r="152" spans="1:8" ht="12.5">
      <c r="A152" s="6">
        <v>151</v>
      </c>
      <c r="B152" s="7"/>
      <c r="C152" s="7"/>
      <c r="D152" s="7"/>
      <c r="E152" s="7"/>
      <c r="F152" s="7"/>
      <c r="G152" s="7"/>
      <c r="H152" s="7"/>
    </row>
    <row r="153" spans="1:8" ht="12.5">
      <c r="A153" s="6">
        <v>152</v>
      </c>
      <c r="B153" s="7"/>
      <c r="C153" s="7"/>
      <c r="D153" s="7"/>
      <c r="E153" s="7"/>
      <c r="F153" s="7"/>
      <c r="G153" s="7"/>
      <c r="H153" s="7"/>
    </row>
    <row r="154" spans="1:8" ht="12.5">
      <c r="A154" s="6">
        <v>153</v>
      </c>
      <c r="B154" s="7"/>
      <c r="C154" s="7"/>
      <c r="D154" s="7"/>
      <c r="E154" s="7"/>
      <c r="F154" s="7"/>
      <c r="G154" s="7"/>
      <c r="H154" s="7"/>
    </row>
    <row r="155" spans="1:8" ht="12.5">
      <c r="A155" s="6">
        <v>154</v>
      </c>
      <c r="B155" s="7"/>
      <c r="C155" s="7"/>
      <c r="D155" s="7"/>
      <c r="E155" s="7"/>
      <c r="F155" s="7"/>
      <c r="G155" s="7"/>
      <c r="H155" s="7"/>
    </row>
    <row r="156" spans="1:8" ht="12.5">
      <c r="A156" s="6">
        <v>155</v>
      </c>
      <c r="B156" s="7"/>
      <c r="C156" s="7"/>
      <c r="D156" s="7"/>
      <c r="E156" s="7"/>
      <c r="F156" s="7"/>
      <c r="G156" s="7"/>
      <c r="H156" s="7"/>
    </row>
    <row r="157" spans="1:8" ht="12.5">
      <c r="A157" s="6">
        <v>156</v>
      </c>
      <c r="B157" s="7"/>
      <c r="C157" s="7"/>
      <c r="D157" s="7"/>
      <c r="E157" s="7"/>
      <c r="F157" s="7"/>
      <c r="G157" s="7"/>
      <c r="H157" s="7"/>
    </row>
    <row r="158" spans="1:8" ht="12.5">
      <c r="A158" s="6">
        <v>157</v>
      </c>
      <c r="B158" s="7"/>
      <c r="C158" s="7"/>
      <c r="D158" s="7"/>
      <c r="E158" s="7"/>
      <c r="F158" s="7"/>
      <c r="G158" s="7"/>
      <c r="H158" s="7"/>
    </row>
    <row r="159" spans="1:8" ht="12.5">
      <c r="A159" s="6">
        <v>158</v>
      </c>
      <c r="B159" s="7"/>
      <c r="C159" s="7"/>
      <c r="D159" s="7"/>
      <c r="E159" s="7"/>
      <c r="F159" s="7"/>
      <c r="G159" s="7"/>
      <c r="H159" s="7"/>
    </row>
    <row r="160" spans="1:8" ht="12.5">
      <c r="A160" s="6">
        <v>159</v>
      </c>
      <c r="B160" s="7"/>
      <c r="C160" s="7"/>
      <c r="D160" s="7"/>
      <c r="E160" s="7"/>
      <c r="F160" s="7"/>
      <c r="G160" s="7"/>
      <c r="H160" s="7"/>
    </row>
    <row r="161" spans="1:8" ht="12.5">
      <c r="A161" s="6">
        <v>160</v>
      </c>
      <c r="B161" s="7"/>
      <c r="C161" s="7"/>
      <c r="D161" s="7"/>
      <c r="E161" s="7"/>
      <c r="F161" s="7"/>
      <c r="G161" s="7"/>
      <c r="H161" s="7"/>
    </row>
    <row r="162" spans="1:8" ht="12.5">
      <c r="A162" s="6">
        <v>161</v>
      </c>
      <c r="B162" s="7"/>
      <c r="C162" s="7"/>
      <c r="D162" s="7"/>
      <c r="E162" s="7"/>
      <c r="F162" s="7"/>
      <c r="G162" s="7"/>
      <c r="H162" s="7"/>
    </row>
    <row r="163" spans="1:8" ht="12.5">
      <c r="A163" s="6">
        <v>162</v>
      </c>
      <c r="B163" s="7"/>
      <c r="C163" s="7"/>
      <c r="D163" s="7"/>
      <c r="E163" s="7"/>
      <c r="F163" s="7"/>
      <c r="G163" s="7"/>
      <c r="H163" s="7"/>
    </row>
    <row r="164" spans="1:8" ht="12.5">
      <c r="A164" s="6">
        <v>163</v>
      </c>
      <c r="B164" s="7"/>
      <c r="C164" s="7"/>
      <c r="D164" s="7"/>
      <c r="E164" s="7"/>
      <c r="F164" s="7"/>
      <c r="G164" s="7"/>
      <c r="H164" s="7"/>
    </row>
    <row r="165" spans="1:8" ht="12.5">
      <c r="A165" s="6">
        <v>164</v>
      </c>
      <c r="B165" s="7"/>
      <c r="C165" s="7"/>
      <c r="D165" s="7"/>
      <c r="E165" s="7"/>
      <c r="F165" s="7"/>
      <c r="G165" s="7"/>
      <c r="H165" s="7"/>
    </row>
    <row r="166" spans="1:8" ht="12.5">
      <c r="A166" s="6">
        <v>165</v>
      </c>
      <c r="B166" s="7"/>
      <c r="C166" s="7"/>
      <c r="D166" s="7"/>
      <c r="E166" s="7"/>
      <c r="F166" s="7"/>
      <c r="G166" s="7"/>
      <c r="H166" s="7"/>
    </row>
    <row r="167" spans="1:8" ht="12.5">
      <c r="A167" s="6">
        <v>166</v>
      </c>
      <c r="B167" s="7"/>
      <c r="C167" s="7"/>
      <c r="D167" s="7"/>
      <c r="E167" s="7"/>
      <c r="F167" s="7"/>
      <c r="G167" s="7"/>
      <c r="H167" s="7"/>
    </row>
    <row r="168" spans="1:8" ht="12.5">
      <c r="A168" s="6">
        <v>167</v>
      </c>
      <c r="B168" s="7"/>
      <c r="C168" s="7"/>
      <c r="D168" s="7"/>
      <c r="E168" s="7"/>
      <c r="F168" s="7"/>
      <c r="G168" s="7"/>
      <c r="H168" s="7"/>
    </row>
    <row r="169" spans="1:8" ht="12.5">
      <c r="A169" s="6">
        <v>168</v>
      </c>
      <c r="B169" s="7"/>
      <c r="C169" s="7"/>
      <c r="D169" s="7"/>
      <c r="E169" s="7"/>
      <c r="F169" s="7"/>
      <c r="G169" s="7"/>
      <c r="H169" s="7"/>
    </row>
    <row r="170" spans="1:8" ht="12.5">
      <c r="A170" s="6">
        <v>169</v>
      </c>
      <c r="B170" s="7"/>
      <c r="C170" s="7"/>
      <c r="D170" s="7"/>
      <c r="E170" s="7"/>
      <c r="F170" s="7"/>
      <c r="G170" s="7"/>
      <c r="H170" s="7"/>
    </row>
    <row r="171" spans="1:8" ht="12.5">
      <c r="A171" s="6">
        <v>170</v>
      </c>
      <c r="B171" s="7"/>
      <c r="C171" s="7"/>
      <c r="D171" s="7"/>
      <c r="E171" s="7"/>
      <c r="F171" s="7"/>
      <c r="G171" s="7"/>
      <c r="H171" s="7"/>
    </row>
    <row r="172" spans="1:8" ht="12.5">
      <c r="A172" s="6">
        <v>171</v>
      </c>
      <c r="B172" s="7"/>
      <c r="C172" s="7"/>
      <c r="D172" s="7"/>
      <c r="E172" s="7"/>
      <c r="F172" s="7"/>
      <c r="G172" s="7"/>
      <c r="H172" s="7"/>
    </row>
    <row r="173" spans="1:8" ht="12.5">
      <c r="A173" s="6">
        <v>172</v>
      </c>
      <c r="B173" s="7"/>
      <c r="C173" s="7"/>
      <c r="D173" s="7"/>
      <c r="E173" s="7"/>
      <c r="F173" s="7"/>
      <c r="G173" s="7"/>
      <c r="H173" s="7"/>
    </row>
    <row r="174" spans="1:8" ht="12.5">
      <c r="A174" s="6">
        <v>173</v>
      </c>
      <c r="B174" s="7"/>
      <c r="C174" s="7"/>
      <c r="D174" s="7"/>
      <c r="E174" s="7"/>
      <c r="F174" s="7"/>
      <c r="G174" s="7"/>
      <c r="H174" s="7"/>
    </row>
    <row r="175" spans="1:8" ht="12.5">
      <c r="A175" s="6">
        <v>174</v>
      </c>
      <c r="B175" s="7"/>
      <c r="C175" s="7"/>
      <c r="D175" s="7"/>
      <c r="E175" s="7"/>
      <c r="F175" s="7"/>
      <c r="G175" s="7"/>
      <c r="H175" s="7"/>
    </row>
    <row r="176" spans="1:8" ht="12.5">
      <c r="A176" s="6">
        <v>175</v>
      </c>
      <c r="B176" s="7"/>
      <c r="C176" s="7"/>
      <c r="D176" s="7"/>
      <c r="E176" s="7"/>
      <c r="F176" s="7"/>
      <c r="G176" s="7"/>
      <c r="H176" s="7"/>
    </row>
    <row r="177" spans="1:8" ht="12.5">
      <c r="A177" s="6">
        <v>176</v>
      </c>
      <c r="B177" s="7"/>
      <c r="C177" s="7"/>
      <c r="D177" s="7"/>
      <c r="E177" s="7"/>
      <c r="F177" s="7"/>
      <c r="G177" s="7"/>
      <c r="H177" s="7"/>
    </row>
    <row r="178" spans="1:8" ht="12.5">
      <c r="A178" s="6">
        <v>177</v>
      </c>
      <c r="B178" s="7"/>
      <c r="C178" s="7"/>
      <c r="D178" s="7"/>
      <c r="E178" s="7"/>
      <c r="F178" s="7"/>
      <c r="G178" s="7"/>
      <c r="H178" s="7"/>
    </row>
    <row r="179" spans="1:8" ht="12.5">
      <c r="A179" s="6">
        <v>178</v>
      </c>
      <c r="B179" s="7"/>
      <c r="C179" s="7"/>
      <c r="D179" s="7"/>
      <c r="E179" s="7"/>
      <c r="F179" s="7"/>
      <c r="G179" s="7"/>
      <c r="H179" s="7"/>
    </row>
    <row r="180" spans="1:8" ht="12.5">
      <c r="A180" s="6">
        <v>179</v>
      </c>
      <c r="B180" s="7"/>
      <c r="C180" s="7"/>
      <c r="D180" s="7"/>
      <c r="E180" s="7"/>
      <c r="F180" s="7"/>
      <c r="G180" s="7"/>
      <c r="H180" s="7"/>
    </row>
    <row r="181" spans="1:8" ht="12.5">
      <c r="A181" s="6">
        <v>180</v>
      </c>
      <c r="B181" s="7"/>
      <c r="C181" s="7"/>
      <c r="D181" s="7"/>
      <c r="E181" s="7"/>
      <c r="F181" s="7"/>
      <c r="G181" s="7"/>
      <c r="H181" s="7"/>
    </row>
    <row r="182" spans="1:8" ht="12.5">
      <c r="A182" s="6">
        <v>181</v>
      </c>
      <c r="B182" s="7"/>
      <c r="C182" s="7"/>
      <c r="D182" s="7"/>
      <c r="E182" s="7"/>
      <c r="F182" s="7"/>
      <c r="G182" s="7"/>
      <c r="H182" s="7"/>
    </row>
    <row r="183" spans="1:8" ht="12.5">
      <c r="A183" s="6">
        <v>182</v>
      </c>
      <c r="B183" s="7"/>
      <c r="C183" s="7"/>
      <c r="D183" s="7"/>
      <c r="E183" s="7"/>
      <c r="F183" s="7"/>
      <c r="G183" s="7"/>
      <c r="H183" s="7"/>
    </row>
    <row r="184" spans="1:8" ht="12.5">
      <c r="A184" s="6">
        <v>183</v>
      </c>
      <c r="B184" s="7"/>
      <c r="C184" s="7"/>
      <c r="D184" s="7"/>
      <c r="E184" s="7"/>
      <c r="F184" s="7"/>
      <c r="G184" s="7"/>
      <c r="H184" s="7"/>
    </row>
    <row r="185" spans="1:8" ht="12.5">
      <c r="A185" s="6">
        <v>184</v>
      </c>
      <c r="B185" s="7"/>
      <c r="C185" s="7"/>
      <c r="D185" s="7"/>
      <c r="E185" s="7"/>
      <c r="F185" s="7"/>
      <c r="G185" s="7"/>
      <c r="H185" s="7"/>
    </row>
    <row r="186" spans="1:8" ht="12.5">
      <c r="A186" s="6">
        <v>185</v>
      </c>
      <c r="B186" s="7"/>
      <c r="C186" s="7"/>
      <c r="D186" s="7"/>
      <c r="E186" s="7"/>
      <c r="F186" s="7"/>
      <c r="G186" s="7"/>
      <c r="H186" s="7"/>
    </row>
    <row r="187" spans="1:8" ht="12.5">
      <c r="A187" s="6">
        <v>186</v>
      </c>
      <c r="B187" s="7"/>
      <c r="C187" s="7"/>
      <c r="D187" s="7"/>
      <c r="E187" s="7"/>
      <c r="F187" s="7"/>
      <c r="G187" s="7"/>
      <c r="H187" s="7"/>
    </row>
    <row r="188" spans="1:8" ht="12.5">
      <c r="A188" s="6">
        <v>187</v>
      </c>
      <c r="B188" s="7"/>
      <c r="C188" s="7"/>
      <c r="D188" s="7"/>
      <c r="E188" s="7"/>
      <c r="F188" s="7"/>
      <c r="G188" s="7"/>
      <c r="H188" s="7"/>
    </row>
    <row r="189" spans="1:8" ht="12.5">
      <c r="A189" s="6">
        <v>188</v>
      </c>
      <c r="B189" s="7"/>
      <c r="C189" s="7"/>
      <c r="D189" s="7"/>
      <c r="E189" s="7"/>
      <c r="F189" s="7"/>
      <c r="G189" s="7"/>
      <c r="H189" s="7"/>
    </row>
    <row r="190" spans="1:8" ht="12.5">
      <c r="A190" s="6">
        <v>189</v>
      </c>
      <c r="B190" s="7"/>
      <c r="C190" s="7"/>
      <c r="D190" s="7"/>
      <c r="E190" s="7"/>
      <c r="F190" s="7"/>
      <c r="G190" s="7"/>
      <c r="H190" s="7"/>
    </row>
    <row r="191" spans="1:8" ht="12.5">
      <c r="A191" s="6">
        <v>190</v>
      </c>
      <c r="B191" s="7"/>
      <c r="C191" s="7"/>
      <c r="D191" s="7"/>
      <c r="E191" s="7"/>
      <c r="F191" s="7"/>
      <c r="G191" s="7"/>
      <c r="H191" s="7"/>
    </row>
    <row r="192" spans="1:8" ht="12.5">
      <c r="A192" s="6">
        <v>191</v>
      </c>
      <c r="B192" s="7"/>
      <c r="C192" s="7"/>
      <c r="D192" s="7"/>
      <c r="E192" s="7"/>
      <c r="F192" s="7"/>
      <c r="G192" s="7"/>
      <c r="H192" s="7"/>
    </row>
    <row r="193" spans="1:8" ht="12.5">
      <c r="A193" s="6">
        <v>192</v>
      </c>
      <c r="B193" s="7"/>
      <c r="C193" s="7"/>
      <c r="D193" s="7"/>
      <c r="E193" s="7"/>
      <c r="F193" s="7"/>
      <c r="G193" s="7"/>
      <c r="H193" s="7"/>
    </row>
    <row r="194" spans="1:8" ht="12.5">
      <c r="A194" s="6">
        <v>193</v>
      </c>
      <c r="B194" s="7"/>
      <c r="C194" s="7"/>
      <c r="D194" s="7"/>
      <c r="E194" s="7"/>
      <c r="F194" s="7"/>
      <c r="G194" s="7"/>
      <c r="H194" s="7"/>
    </row>
    <row r="195" spans="1:8" ht="12.5">
      <c r="A195" s="6">
        <v>194</v>
      </c>
      <c r="B195" s="7"/>
      <c r="C195" s="7"/>
      <c r="D195" s="7"/>
      <c r="E195" s="7"/>
      <c r="F195" s="7"/>
      <c r="G195" s="7"/>
      <c r="H195" s="7"/>
    </row>
    <row r="196" spans="1:8" ht="12.5">
      <c r="A196" s="6">
        <v>195</v>
      </c>
      <c r="B196" s="7"/>
      <c r="C196" s="7"/>
      <c r="D196" s="7"/>
      <c r="E196" s="7"/>
      <c r="F196" s="7"/>
      <c r="G196" s="7"/>
      <c r="H196" s="7"/>
    </row>
    <row r="197" spans="1:8" ht="12.5">
      <c r="A197" s="6">
        <v>196</v>
      </c>
      <c r="B197" s="7"/>
      <c r="C197" s="7"/>
      <c r="D197" s="7"/>
      <c r="E197" s="7"/>
      <c r="F197" s="7"/>
      <c r="G197" s="7"/>
      <c r="H197" s="7"/>
    </row>
    <row r="198" spans="1:8" ht="12.5">
      <c r="A198" s="6">
        <v>197</v>
      </c>
      <c r="B198" s="7"/>
      <c r="C198" s="7"/>
      <c r="D198" s="7"/>
      <c r="E198" s="7"/>
      <c r="F198" s="7"/>
      <c r="G198" s="7"/>
      <c r="H198" s="7"/>
    </row>
    <row r="199" spans="1:8" ht="12.5">
      <c r="A199" s="6">
        <v>198</v>
      </c>
      <c r="B199" s="7"/>
      <c r="C199" s="7"/>
      <c r="D199" s="7"/>
      <c r="E199" s="7"/>
      <c r="F199" s="7"/>
      <c r="G199" s="7"/>
      <c r="H199" s="7"/>
    </row>
    <row r="200" spans="1:8" ht="12.5">
      <c r="A200" s="6">
        <v>199</v>
      </c>
      <c r="B200" s="7"/>
      <c r="C200" s="7"/>
      <c r="D200" s="7"/>
      <c r="E200" s="7"/>
      <c r="F200" s="7"/>
      <c r="G200" s="7"/>
      <c r="H200" s="7"/>
    </row>
    <row r="201" spans="1:8" ht="12.5">
      <c r="A201" s="6">
        <v>200</v>
      </c>
      <c r="B201" s="7"/>
      <c r="C201" s="7"/>
      <c r="D201" s="7"/>
      <c r="E201" s="7"/>
      <c r="F201" s="7"/>
      <c r="G201" s="7"/>
      <c r="H201" s="7"/>
    </row>
    <row r="202" spans="1:8" ht="12.5">
      <c r="A202" s="6">
        <v>201</v>
      </c>
      <c r="B202" s="7"/>
      <c r="C202" s="7"/>
      <c r="D202" s="7"/>
      <c r="E202" s="7"/>
      <c r="F202" s="7"/>
      <c r="G202" s="7"/>
      <c r="H202" s="7"/>
    </row>
    <row r="203" spans="1:8" ht="12.5">
      <c r="A203" s="6">
        <v>202</v>
      </c>
      <c r="B203" s="7"/>
      <c r="C203" s="7"/>
      <c r="D203" s="7"/>
      <c r="E203" s="7"/>
      <c r="F203" s="7"/>
      <c r="G203" s="7"/>
      <c r="H203" s="7"/>
    </row>
    <row r="204" spans="1:8" ht="12.5">
      <c r="A204" s="6">
        <v>203</v>
      </c>
      <c r="B204" s="7"/>
      <c r="C204" s="7"/>
      <c r="D204" s="7"/>
      <c r="E204" s="7"/>
      <c r="F204" s="7"/>
      <c r="G204" s="7"/>
      <c r="H204" s="7"/>
    </row>
    <row r="205" spans="1:8" ht="12.5">
      <c r="A205" s="6">
        <v>204</v>
      </c>
      <c r="B205" s="7"/>
      <c r="C205" s="7"/>
      <c r="D205" s="7"/>
      <c r="E205" s="7"/>
      <c r="F205" s="7"/>
      <c r="G205" s="7"/>
      <c r="H205" s="7"/>
    </row>
    <row r="206" spans="1:8" ht="12.5">
      <c r="A206" s="6">
        <v>205</v>
      </c>
      <c r="B206" s="7"/>
      <c r="C206" s="7"/>
      <c r="D206" s="7"/>
      <c r="E206" s="7"/>
      <c r="F206" s="7"/>
      <c r="G206" s="7"/>
      <c r="H206" s="7"/>
    </row>
    <row r="207" spans="1:8" ht="12.5">
      <c r="A207" s="6">
        <v>206</v>
      </c>
      <c r="B207" s="7"/>
      <c r="C207" s="7"/>
      <c r="D207" s="7"/>
      <c r="E207" s="7"/>
      <c r="F207" s="7"/>
      <c r="G207" s="7"/>
      <c r="H207" s="7"/>
    </row>
    <row r="208" spans="1:8" ht="12.5">
      <c r="A208" s="6">
        <v>207</v>
      </c>
      <c r="B208" s="7"/>
      <c r="C208" s="7"/>
      <c r="D208" s="7"/>
      <c r="E208" s="7"/>
      <c r="F208" s="7"/>
      <c r="G208" s="7"/>
      <c r="H208" s="7"/>
    </row>
    <row r="209" spans="1:8" ht="12.5">
      <c r="A209" s="6">
        <v>208</v>
      </c>
      <c r="B209" s="7"/>
      <c r="C209" s="7"/>
      <c r="D209" s="7"/>
      <c r="E209" s="7"/>
      <c r="F209" s="7"/>
      <c r="G209" s="7"/>
      <c r="H209" s="7"/>
    </row>
    <row r="210" spans="1:8" ht="12.5">
      <c r="A210" s="6">
        <v>209</v>
      </c>
      <c r="B210" s="7"/>
      <c r="C210" s="7"/>
      <c r="D210" s="7"/>
      <c r="E210" s="7"/>
      <c r="F210" s="7"/>
      <c r="G210" s="7"/>
      <c r="H210" s="7"/>
    </row>
    <row r="211" spans="1:8" ht="12.5">
      <c r="A211" s="6">
        <v>210</v>
      </c>
      <c r="B211" s="7"/>
      <c r="C211" s="7"/>
      <c r="D211" s="7"/>
      <c r="E211" s="7"/>
      <c r="F211" s="7"/>
      <c r="G211" s="7"/>
      <c r="H211" s="7"/>
    </row>
    <row r="212" spans="1:8" ht="12.5">
      <c r="A212" s="6">
        <v>211</v>
      </c>
      <c r="B212" s="7"/>
      <c r="C212" s="7"/>
      <c r="D212" s="7"/>
      <c r="E212" s="7"/>
      <c r="F212" s="7"/>
      <c r="G212" s="7"/>
      <c r="H212" s="7"/>
    </row>
    <row r="213" spans="1:8" ht="12.5">
      <c r="A213" s="6">
        <v>212</v>
      </c>
      <c r="B213" s="7"/>
      <c r="C213" s="7"/>
      <c r="D213" s="7"/>
      <c r="E213" s="7"/>
      <c r="F213" s="7"/>
      <c r="G213" s="7"/>
      <c r="H213" s="7"/>
    </row>
    <row r="214" spans="1:8" ht="12.5">
      <c r="A214" s="6">
        <v>213</v>
      </c>
      <c r="B214" s="7"/>
      <c r="C214" s="7"/>
      <c r="D214" s="7"/>
      <c r="E214" s="7"/>
      <c r="F214" s="7"/>
      <c r="G214" s="7"/>
      <c r="H214" s="7"/>
    </row>
    <row r="215" spans="1:8" ht="12.5">
      <c r="A215" s="6">
        <v>214</v>
      </c>
      <c r="B215" s="7"/>
      <c r="C215" s="7"/>
      <c r="D215" s="7"/>
      <c r="E215" s="7"/>
      <c r="F215" s="7"/>
      <c r="G215" s="7"/>
      <c r="H215" s="7"/>
    </row>
    <row r="216" spans="1:8" ht="12.5">
      <c r="A216" s="6">
        <v>215</v>
      </c>
      <c r="B216" s="7"/>
      <c r="C216" s="7"/>
      <c r="D216" s="7"/>
      <c r="E216" s="7"/>
      <c r="F216" s="7"/>
      <c r="G216" s="7"/>
      <c r="H216" s="7"/>
    </row>
    <row r="217" spans="1:8" ht="12.5">
      <c r="A217" s="6">
        <v>216</v>
      </c>
      <c r="B217" s="7"/>
      <c r="C217" s="7"/>
      <c r="D217" s="7"/>
      <c r="E217" s="7"/>
      <c r="F217" s="7"/>
      <c r="G217" s="7"/>
      <c r="H217" s="7"/>
    </row>
    <row r="218" spans="1:8" ht="12.5">
      <c r="A218" s="6">
        <v>217</v>
      </c>
      <c r="B218" s="7"/>
      <c r="C218" s="7"/>
      <c r="D218" s="7"/>
      <c r="E218" s="7"/>
      <c r="F218" s="7"/>
      <c r="G218" s="7"/>
      <c r="H218" s="7"/>
    </row>
    <row r="219" spans="1:8" ht="12.5">
      <c r="A219" s="6">
        <v>218</v>
      </c>
      <c r="B219" s="7"/>
      <c r="C219" s="7"/>
      <c r="D219" s="7"/>
      <c r="E219" s="7"/>
      <c r="F219" s="7"/>
      <c r="G219" s="7"/>
      <c r="H219" s="7"/>
    </row>
    <row r="220" spans="1:8" ht="12.5">
      <c r="A220" s="6">
        <v>219</v>
      </c>
      <c r="B220" s="7"/>
      <c r="C220" s="7"/>
      <c r="D220" s="7"/>
      <c r="E220" s="7"/>
      <c r="F220" s="7"/>
      <c r="G220" s="7"/>
      <c r="H220" s="7"/>
    </row>
    <row r="221" spans="1:8" ht="12.5">
      <c r="A221" s="6">
        <v>220</v>
      </c>
      <c r="B221" s="7"/>
      <c r="C221" s="7"/>
      <c r="D221" s="7"/>
      <c r="E221" s="7"/>
      <c r="F221" s="7"/>
      <c r="G221" s="7"/>
      <c r="H221" s="7"/>
    </row>
    <row r="222" spans="1:8" ht="12.5">
      <c r="A222" s="6">
        <v>221</v>
      </c>
      <c r="B222" s="7"/>
      <c r="C222" s="7"/>
      <c r="D222" s="7"/>
      <c r="E222" s="7"/>
      <c r="F222" s="7"/>
      <c r="G222" s="7"/>
      <c r="H222" s="7"/>
    </row>
    <row r="223" spans="1:8" ht="12.5">
      <c r="A223" s="6">
        <v>222</v>
      </c>
      <c r="B223" s="7"/>
      <c r="C223" s="7"/>
      <c r="D223" s="7"/>
      <c r="E223" s="7"/>
      <c r="F223" s="7"/>
      <c r="G223" s="7"/>
      <c r="H223" s="7"/>
    </row>
    <row r="224" spans="1:8" ht="12.5">
      <c r="A224" s="6">
        <v>223</v>
      </c>
      <c r="B224" s="7"/>
      <c r="C224" s="7"/>
      <c r="D224" s="7"/>
      <c r="E224" s="7"/>
      <c r="F224" s="7"/>
      <c r="G224" s="7"/>
      <c r="H224" s="7"/>
    </row>
    <row r="225" spans="1:8" ht="12.5">
      <c r="A225" s="6">
        <v>224</v>
      </c>
      <c r="B225" s="7"/>
      <c r="C225" s="7"/>
      <c r="D225" s="7"/>
      <c r="E225" s="7"/>
      <c r="F225" s="7"/>
      <c r="G225" s="7"/>
      <c r="H225" s="7"/>
    </row>
    <row r="226" spans="1:8" ht="12.5">
      <c r="A226" s="6">
        <v>225</v>
      </c>
      <c r="B226" s="7"/>
      <c r="C226" s="7"/>
      <c r="D226" s="7"/>
      <c r="E226" s="7"/>
      <c r="F226" s="7"/>
      <c r="G226" s="7"/>
      <c r="H226" s="7"/>
    </row>
    <row r="227" spans="1:8" ht="12.5">
      <c r="A227" s="6">
        <v>226</v>
      </c>
      <c r="B227" s="7"/>
      <c r="C227" s="7"/>
      <c r="D227" s="7"/>
      <c r="E227" s="7"/>
      <c r="F227" s="7"/>
      <c r="G227" s="7"/>
      <c r="H227" s="7"/>
    </row>
    <row r="228" spans="1:8" ht="12.5">
      <c r="A228" s="6">
        <v>227</v>
      </c>
      <c r="B228" s="7"/>
      <c r="C228" s="7"/>
      <c r="D228" s="7"/>
      <c r="E228" s="7"/>
      <c r="F228" s="7"/>
      <c r="G228" s="7"/>
      <c r="H228" s="7"/>
    </row>
    <row r="229" spans="1:8" ht="12.5">
      <c r="A229" s="6">
        <v>228</v>
      </c>
      <c r="B229" s="7"/>
      <c r="C229" s="7"/>
      <c r="D229" s="7"/>
      <c r="E229" s="7"/>
      <c r="F229" s="7"/>
      <c r="G229" s="7"/>
      <c r="H229" s="7"/>
    </row>
    <row r="230" spans="1:8" ht="12.5">
      <c r="A230" s="6">
        <v>229</v>
      </c>
      <c r="B230" s="7"/>
      <c r="C230" s="7"/>
      <c r="D230" s="7"/>
      <c r="E230" s="7"/>
      <c r="F230" s="7"/>
      <c r="G230" s="7"/>
      <c r="H230" s="7"/>
    </row>
    <row r="231" spans="1:8" ht="12.5">
      <c r="A231" s="6">
        <v>230</v>
      </c>
      <c r="B231" s="7"/>
      <c r="C231" s="7"/>
      <c r="D231" s="7"/>
      <c r="E231" s="7"/>
      <c r="F231" s="7"/>
      <c r="G231" s="7"/>
      <c r="H231" s="7"/>
    </row>
    <row r="232" spans="1:8" ht="12.5">
      <c r="A232" s="6">
        <v>231</v>
      </c>
      <c r="B232" s="7"/>
      <c r="C232" s="7"/>
      <c r="D232" s="7"/>
      <c r="E232" s="7"/>
      <c r="F232" s="7"/>
      <c r="G232" s="7"/>
      <c r="H232" s="7"/>
    </row>
    <row r="233" spans="1:8" ht="12.5">
      <c r="A233" s="6">
        <v>232</v>
      </c>
      <c r="B233" s="7"/>
      <c r="C233" s="7"/>
      <c r="D233" s="7"/>
      <c r="E233" s="7"/>
      <c r="F233" s="7"/>
      <c r="G233" s="7"/>
      <c r="H233" s="7"/>
    </row>
    <row r="234" spans="1:8" ht="12.5">
      <c r="A234" s="6">
        <v>233</v>
      </c>
      <c r="B234" s="7"/>
      <c r="C234" s="7"/>
      <c r="D234" s="7"/>
      <c r="E234" s="7"/>
      <c r="F234" s="7"/>
      <c r="G234" s="7"/>
      <c r="H234" s="7"/>
    </row>
    <row r="235" spans="1:8" ht="12.5">
      <c r="A235" s="6">
        <v>234</v>
      </c>
      <c r="B235" s="7"/>
      <c r="C235" s="7"/>
      <c r="D235" s="7"/>
      <c r="E235" s="7"/>
      <c r="F235" s="7"/>
      <c r="G235" s="7"/>
      <c r="H235" s="7"/>
    </row>
    <row r="236" spans="1:8" ht="12.5">
      <c r="A236" s="6">
        <v>235</v>
      </c>
      <c r="B236" s="7"/>
      <c r="C236" s="7"/>
      <c r="D236" s="7"/>
      <c r="E236" s="7"/>
      <c r="F236" s="7"/>
      <c r="G236" s="7"/>
      <c r="H236" s="7"/>
    </row>
    <row r="237" spans="1:8" ht="12.5">
      <c r="A237" s="6">
        <v>236</v>
      </c>
      <c r="B237" s="7"/>
      <c r="C237" s="7"/>
      <c r="D237" s="7"/>
      <c r="E237" s="7"/>
      <c r="F237" s="7"/>
      <c r="G237" s="7"/>
      <c r="H237" s="7"/>
    </row>
    <row r="238" spans="1:8" ht="12.5">
      <c r="A238" s="6">
        <v>237</v>
      </c>
      <c r="B238" s="7"/>
      <c r="C238" s="7"/>
      <c r="D238" s="7"/>
      <c r="E238" s="7"/>
      <c r="F238" s="7"/>
      <c r="G238" s="7"/>
      <c r="H238" s="7"/>
    </row>
    <row r="239" spans="1:8" ht="12.5">
      <c r="A239" s="6">
        <v>238</v>
      </c>
      <c r="B239" s="7"/>
      <c r="C239" s="7"/>
      <c r="D239" s="7"/>
      <c r="E239" s="7"/>
      <c r="F239" s="7"/>
      <c r="G239" s="7"/>
      <c r="H239" s="7"/>
    </row>
    <row r="240" spans="1:8" ht="12.5">
      <c r="A240" s="6">
        <v>239</v>
      </c>
      <c r="B240" s="7"/>
      <c r="C240" s="7"/>
      <c r="D240" s="7"/>
      <c r="E240" s="7"/>
      <c r="F240" s="7"/>
      <c r="G240" s="7"/>
      <c r="H240" s="7"/>
    </row>
    <row r="241" spans="1:8" ht="12.5">
      <c r="A241" s="6">
        <v>240</v>
      </c>
      <c r="B241" s="7"/>
      <c r="C241" s="7"/>
      <c r="D241" s="7"/>
      <c r="E241" s="7"/>
      <c r="F241" s="7"/>
      <c r="G241" s="7"/>
      <c r="H241" s="7"/>
    </row>
    <row r="242" spans="1:8" ht="12.5">
      <c r="A242" s="6">
        <v>241</v>
      </c>
      <c r="B242" s="7"/>
      <c r="C242" s="7"/>
      <c r="D242" s="7"/>
      <c r="E242" s="7"/>
      <c r="F242" s="7"/>
      <c r="G242" s="7"/>
      <c r="H242" s="7"/>
    </row>
    <row r="243" spans="1:8" ht="12.5">
      <c r="A243" s="6">
        <v>242</v>
      </c>
      <c r="B243" s="7"/>
      <c r="C243" s="7"/>
      <c r="D243" s="7"/>
      <c r="E243" s="7"/>
      <c r="F243" s="7"/>
      <c r="G243" s="7"/>
      <c r="H243" s="7"/>
    </row>
    <row r="244" spans="1:8" ht="12.5">
      <c r="A244" s="6">
        <v>243</v>
      </c>
      <c r="B244" s="7"/>
      <c r="C244" s="7"/>
      <c r="D244" s="7"/>
      <c r="E244" s="7"/>
      <c r="F244" s="7"/>
      <c r="G244" s="7"/>
      <c r="H244" s="7"/>
    </row>
    <row r="245" spans="1:8" ht="12.5">
      <c r="A245" s="6">
        <v>244</v>
      </c>
      <c r="B245" s="7"/>
      <c r="C245" s="7"/>
      <c r="D245" s="7"/>
      <c r="E245" s="7"/>
      <c r="F245" s="7"/>
      <c r="G245" s="7"/>
      <c r="H245" s="7"/>
    </row>
    <row r="246" spans="1:8" ht="12.5">
      <c r="A246" s="6">
        <v>245</v>
      </c>
      <c r="B246" s="7"/>
      <c r="C246" s="7"/>
      <c r="D246" s="7"/>
      <c r="E246" s="7"/>
      <c r="F246" s="7"/>
      <c r="G246" s="7"/>
      <c r="H246" s="7"/>
    </row>
    <row r="247" spans="1:8" ht="12.5">
      <c r="A247" s="6">
        <v>246</v>
      </c>
      <c r="B247" s="7"/>
      <c r="C247" s="7"/>
      <c r="D247" s="7"/>
      <c r="E247" s="7"/>
      <c r="F247" s="7"/>
      <c r="G247" s="7"/>
      <c r="H247" s="7"/>
    </row>
    <row r="248" spans="1:8" ht="12.5">
      <c r="A248" s="6">
        <v>247</v>
      </c>
      <c r="B248" s="7"/>
      <c r="C248" s="7"/>
      <c r="D248" s="7"/>
      <c r="E248" s="7"/>
      <c r="F248" s="7"/>
      <c r="G248" s="7"/>
      <c r="H248" s="7"/>
    </row>
    <row r="249" spans="1:8" ht="12.5">
      <c r="A249" s="6">
        <v>248</v>
      </c>
      <c r="B249" s="7"/>
      <c r="C249" s="7"/>
      <c r="D249" s="7"/>
      <c r="E249" s="7"/>
      <c r="F249" s="7"/>
      <c r="G249" s="7"/>
      <c r="H249" s="7"/>
    </row>
    <row r="250" spans="1:8" ht="12.5">
      <c r="A250" s="6">
        <v>249</v>
      </c>
      <c r="B250" s="7"/>
      <c r="C250" s="7"/>
      <c r="D250" s="7"/>
      <c r="E250" s="7"/>
      <c r="F250" s="7"/>
      <c r="G250" s="7"/>
      <c r="H250" s="7"/>
    </row>
    <row r="251" spans="1:8" ht="12.5">
      <c r="A251" s="6">
        <v>250</v>
      </c>
      <c r="B251" s="7"/>
      <c r="C251" s="7"/>
      <c r="D251" s="7"/>
      <c r="E251" s="7"/>
      <c r="F251" s="7"/>
      <c r="G251" s="7"/>
      <c r="H251" s="7"/>
    </row>
    <row r="252" spans="1:8" ht="12.5">
      <c r="A252" s="6">
        <v>251</v>
      </c>
      <c r="B252" s="7"/>
      <c r="C252" s="7"/>
      <c r="D252" s="7"/>
      <c r="E252" s="7"/>
      <c r="F252" s="7"/>
      <c r="G252" s="7"/>
      <c r="H252" s="7"/>
    </row>
    <row r="253" spans="1:8" ht="12.5">
      <c r="A253" s="6">
        <v>252</v>
      </c>
      <c r="B253" s="7"/>
      <c r="C253" s="7"/>
      <c r="D253" s="7"/>
      <c r="E253" s="7"/>
      <c r="F253" s="7"/>
      <c r="G253" s="7"/>
      <c r="H253" s="7"/>
    </row>
    <row r="254" spans="1:8" ht="12.5">
      <c r="A254" s="6">
        <v>253</v>
      </c>
      <c r="B254" s="7"/>
      <c r="C254" s="7"/>
      <c r="D254" s="7"/>
      <c r="E254" s="7"/>
      <c r="F254" s="7"/>
      <c r="G254" s="7"/>
      <c r="H254" s="7"/>
    </row>
    <row r="255" spans="1:8" ht="12.5">
      <c r="A255" s="6">
        <v>254</v>
      </c>
      <c r="B255" s="7"/>
      <c r="C255" s="7"/>
      <c r="D255" s="7"/>
      <c r="E255" s="7"/>
      <c r="F255" s="7"/>
      <c r="G255" s="7"/>
      <c r="H255" s="7"/>
    </row>
    <row r="256" spans="1:8" ht="12.5">
      <c r="A256" s="6">
        <v>255</v>
      </c>
      <c r="B256" s="7"/>
      <c r="C256" s="7"/>
      <c r="D256" s="7"/>
      <c r="E256" s="7"/>
      <c r="F256" s="7"/>
      <c r="G256" s="7"/>
      <c r="H256" s="7"/>
    </row>
    <row r="257" spans="1:8" ht="12.5">
      <c r="A257" s="6">
        <v>256</v>
      </c>
      <c r="B257" s="7"/>
      <c r="C257" s="7"/>
      <c r="D257" s="7"/>
      <c r="E257" s="7"/>
      <c r="F257" s="7"/>
      <c r="G257" s="7"/>
      <c r="H257" s="7"/>
    </row>
    <row r="258" spans="1:8" ht="12.5">
      <c r="A258" s="6">
        <v>257</v>
      </c>
      <c r="B258" s="7"/>
      <c r="C258" s="7"/>
      <c r="D258" s="7"/>
      <c r="E258" s="7"/>
      <c r="F258" s="7"/>
      <c r="G258" s="7"/>
      <c r="H258" s="7"/>
    </row>
    <row r="259" spans="1:8" ht="12.5">
      <c r="A259" s="6">
        <v>258</v>
      </c>
      <c r="B259" s="7"/>
      <c r="C259" s="7"/>
      <c r="D259" s="7"/>
      <c r="E259" s="7"/>
      <c r="F259" s="7"/>
      <c r="G259" s="7"/>
      <c r="H259" s="7"/>
    </row>
    <row r="260" spans="1:8" ht="12.5">
      <c r="A260" s="6">
        <v>259</v>
      </c>
      <c r="B260" s="7"/>
      <c r="C260" s="7"/>
      <c r="D260" s="7"/>
      <c r="E260" s="7"/>
      <c r="F260" s="7"/>
      <c r="G260" s="7"/>
      <c r="H260" s="7"/>
    </row>
    <row r="261" spans="1:8" ht="12.5">
      <c r="A261" s="6">
        <v>260</v>
      </c>
      <c r="B261" s="7"/>
      <c r="C261" s="7"/>
      <c r="D261" s="7"/>
      <c r="E261" s="7"/>
      <c r="F261" s="7"/>
      <c r="G261" s="7"/>
      <c r="H261" s="7"/>
    </row>
    <row r="262" spans="1:8" ht="12.5">
      <c r="A262" s="6">
        <v>261</v>
      </c>
      <c r="B262" s="7"/>
      <c r="C262" s="7"/>
      <c r="D262" s="7"/>
      <c r="E262" s="7"/>
      <c r="F262" s="7"/>
      <c r="G262" s="7"/>
      <c r="H262" s="7"/>
    </row>
    <row r="263" spans="1:8" ht="12.5">
      <c r="A263" s="6">
        <v>262</v>
      </c>
      <c r="B263" s="7"/>
      <c r="C263" s="7"/>
      <c r="D263" s="7"/>
      <c r="E263" s="7"/>
      <c r="F263" s="7"/>
      <c r="G263" s="7"/>
      <c r="H263" s="7"/>
    </row>
    <row r="264" spans="1:8" ht="12.5">
      <c r="A264" s="6">
        <v>263</v>
      </c>
      <c r="B264" s="7"/>
      <c r="C264" s="7"/>
      <c r="D264" s="7"/>
      <c r="E264" s="7"/>
      <c r="F264" s="7"/>
      <c r="G264" s="7"/>
      <c r="H264" s="7"/>
    </row>
    <row r="265" spans="1:8" ht="12.5">
      <c r="A265" s="6">
        <v>264</v>
      </c>
      <c r="B265" s="7"/>
      <c r="C265" s="7"/>
      <c r="D265" s="7"/>
      <c r="E265" s="7"/>
      <c r="F265" s="7"/>
      <c r="G265" s="7"/>
      <c r="H265" s="7"/>
    </row>
    <row r="266" spans="1:8" ht="12.5">
      <c r="A266" s="6">
        <v>265</v>
      </c>
      <c r="B266" s="7"/>
      <c r="C266" s="7"/>
      <c r="D266" s="7"/>
      <c r="E266" s="7"/>
      <c r="F266" s="7"/>
      <c r="G266" s="7"/>
      <c r="H266" s="7"/>
    </row>
    <row r="267" spans="1:8" ht="12.5">
      <c r="A267" s="6">
        <v>266</v>
      </c>
      <c r="B267" s="7"/>
      <c r="C267" s="7"/>
      <c r="D267" s="7"/>
      <c r="E267" s="7"/>
      <c r="F267" s="7"/>
      <c r="G267" s="7"/>
      <c r="H267" s="7"/>
    </row>
    <row r="268" spans="1:8" ht="12.5">
      <c r="A268" s="6">
        <v>267</v>
      </c>
      <c r="B268" s="7"/>
      <c r="C268" s="7"/>
      <c r="D268" s="7"/>
      <c r="E268" s="7"/>
      <c r="F268" s="7"/>
      <c r="G268" s="7"/>
      <c r="H268" s="7"/>
    </row>
    <row r="269" spans="1:8" ht="12.5">
      <c r="A269" s="6">
        <v>268</v>
      </c>
      <c r="B269" s="7"/>
      <c r="C269" s="7"/>
      <c r="D269" s="7"/>
      <c r="E269" s="7"/>
      <c r="F269" s="7"/>
      <c r="G269" s="7"/>
      <c r="H269" s="7"/>
    </row>
    <row r="270" spans="1:8" ht="12.5">
      <c r="A270" s="6">
        <v>269</v>
      </c>
      <c r="B270" s="7"/>
      <c r="C270" s="7"/>
      <c r="D270" s="7"/>
      <c r="E270" s="7"/>
      <c r="F270" s="7"/>
      <c r="G270" s="7"/>
      <c r="H270" s="7"/>
    </row>
    <row r="271" spans="1:8" ht="12.5">
      <c r="A271" s="6">
        <v>270</v>
      </c>
      <c r="B271" s="7"/>
      <c r="C271" s="7"/>
      <c r="D271" s="7"/>
      <c r="E271" s="7"/>
      <c r="F271" s="7"/>
      <c r="G271" s="7"/>
      <c r="H271" s="7"/>
    </row>
    <row r="272" spans="1:8" ht="12.5">
      <c r="A272" s="6">
        <v>271</v>
      </c>
      <c r="B272" s="7"/>
      <c r="C272" s="7"/>
      <c r="D272" s="7"/>
      <c r="E272" s="7"/>
      <c r="F272" s="7"/>
      <c r="G272" s="7"/>
      <c r="H272" s="7"/>
    </row>
    <row r="273" spans="1:8" ht="12.5">
      <c r="A273" s="6">
        <v>272</v>
      </c>
      <c r="B273" s="7"/>
      <c r="C273" s="7"/>
      <c r="D273" s="7"/>
      <c r="E273" s="7"/>
      <c r="F273" s="7"/>
      <c r="G273" s="7"/>
      <c r="H273" s="7"/>
    </row>
    <row r="274" spans="1:8" ht="12.5">
      <c r="A274" s="6">
        <v>273</v>
      </c>
      <c r="B274" s="7"/>
      <c r="C274" s="7"/>
      <c r="D274" s="7"/>
      <c r="E274" s="7"/>
      <c r="F274" s="7"/>
      <c r="G274" s="7"/>
      <c r="H274" s="7"/>
    </row>
    <row r="275" spans="1:8" ht="12.5">
      <c r="A275" s="6">
        <v>274</v>
      </c>
      <c r="B275" s="7"/>
      <c r="C275" s="7"/>
      <c r="D275" s="7"/>
      <c r="E275" s="7"/>
      <c r="F275" s="7"/>
      <c r="G275" s="7"/>
      <c r="H275" s="7"/>
    </row>
    <row r="276" spans="1:8" ht="12.5">
      <c r="A276" s="6">
        <v>275</v>
      </c>
      <c r="B276" s="7"/>
      <c r="C276" s="7"/>
      <c r="D276" s="7"/>
      <c r="E276" s="7"/>
      <c r="F276" s="7"/>
      <c r="G276" s="7"/>
      <c r="H276" s="7"/>
    </row>
    <row r="277" spans="1:8" ht="12.5">
      <c r="A277" s="6">
        <v>276</v>
      </c>
      <c r="B277" s="7"/>
      <c r="C277" s="7"/>
      <c r="D277" s="7"/>
      <c r="E277" s="7"/>
      <c r="F277" s="7"/>
      <c r="G277" s="7"/>
      <c r="H277" s="7"/>
    </row>
    <row r="278" spans="1:8" ht="12.5">
      <c r="A278" s="6">
        <v>277</v>
      </c>
      <c r="B278" s="7"/>
      <c r="C278" s="7"/>
      <c r="D278" s="7"/>
      <c r="E278" s="7"/>
      <c r="F278" s="7"/>
      <c r="G278" s="7"/>
      <c r="H278" s="7"/>
    </row>
    <row r="279" spans="1:8" ht="12.5">
      <c r="A279" s="6">
        <v>278</v>
      </c>
      <c r="B279" s="7"/>
      <c r="C279" s="7"/>
      <c r="D279" s="7"/>
      <c r="E279" s="7"/>
      <c r="F279" s="7"/>
      <c r="G279" s="7"/>
      <c r="H279" s="7"/>
    </row>
    <row r="280" spans="1:8" ht="12.5">
      <c r="A280" s="6">
        <v>279</v>
      </c>
      <c r="B280" s="7"/>
      <c r="C280" s="7"/>
      <c r="D280" s="7"/>
      <c r="E280" s="7"/>
      <c r="F280" s="7"/>
      <c r="G280" s="7"/>
      <c r="H280" s="7"/>
    </row>
    <row r="281" spans="1:8" ht="12.5">
      <c r="A281" s="6">
        <v>280</v>
      </c>
      <c r="B281" s="7"/>
      <c r="C281" s="7"/>
      <c r="D281" s="7"/>
      <c r="E281" s="7"/>
      <c r="F281" s="7"/>
      <c r="G281" s="7"/>
      <c r="H281" s="7"/>
    </row>
    <row r="282" spans="1:8" ht="12.5">
      <c r="A282" s="6">
        <v>281</v>
      </c>
      <c r="B282" s="7"/>
      <c r="C282" s="7"/>
      <c r="D282" s="7"/>
      <c r="E282" s="7"/>
      <c r="F282" s="7"/>
      <c r="G282" s="7"/>
      <c r="H282" s="7"/>
    </row>
    <row r="283" spans="1:8" ht="12.5">
      <c r="A283" s="6">
        <v>282</v>
      </c>
      <c r="B283" s="7"/>
      <c r="C283" s="7"/>
      <c r="D283" s="7"/>
      <c r="E283" s="7"/>
      <c r="F283" s="7"/>
      <c r="G283" s="7"/>
      <c r="H283" s="7"/>
    </row>
    <row r="284" spans="1:8" ht="12.5">
      <c r="A284" s="6">
        <v>283</v>
      </c>
      <c r="B284" s="7"/>
      <c r="C284" s="7"/>
      <c r="D284" s="7"/>
      <c r="E284" s="7"/>
      <c r="F284" s="7"/>
      <c r="G284" s="7"/>
      <c r="H284" s="7"/>
    </row>
    <row r="285" spans="1:8" ht="12.5">
      <c r="A285" s="6">
        <v>284</v>
      </c>
      <c r="B285" s="7"/>
      <c r="C285" s="7"/>
      <c r="D285" s="7"/>
      <c r="E285" s="7"/>
      <c r="F285" s="7"/>
      <c r="G285" s="7"/>
      <c r="H285" s="7"/>
    </row>
    <row r="286" spans="1:8" ht="12.5">
      <c r="A286" s="6">
        <v>285</v>
      </c>
      <c r="B286" s="7"/>
      <c r="C286" s="7"/>
      <c r="D286" s="7"/>
      <c r="E286" s="7"/>
      <c r="F286" s="7"/>
      <c r="G286" s="7"/>
      <c r="H286" s="7"/>
    </row>
    <row r="287" spans="1:8" ht="12.5">
      <c r="A287" s="6">
        <v>286</v>
      </c>
      <c r="B287" s="7"/>
      <c r="C287" s="7"/>
      <c r="D287" s="7"/>
      <c r="E287" s="7"/>
      <c r="F287" s="7"/>
      <c r="G287" s="7"/>
      <c r="H287" s="7"/>
    </row>
    <row r="288" spans="1:8" ht="12.5">
      <c r="A288" s="6">
        <v>287</v>
      </c>
      <c r="B288" s="7"/>
      <c r="C288" s="7"/>
      <c r="D288" s="7"/>
      <c r="E288" s="7"/>
      <c r="F288" s="7"/>
      <c r="G288" s="7"/>
      <c r="H288" s="7"/>
    </row>
    <row r="289" spans="1:8" ht="12.5">
      <c r="A289" s="6">
        <v>288</v>
      </c>
      <c r="B289" s="7"/>
      <c r="C289" s="7"/>
      <c r="D289" s="7"/>
      <c r="E289" s="7"/>
      <c r="F289" s="7"/>
      <c r="G289" s="7"/>
      <c r="H289" s="7"/>
    </row>
    <row r="290" spans="1:8" ht="12.5">
      <c r="A290" s="6">
        <v>289</v>
      </c>
      <c r="B290" s="7"/>
      <c r="C290" s="7"/>
      <c r="D290" s="7"/>
      <c r="E290" s="7"/>
      <c r="F290" s="7"/>
      <c r="G290" s="7"/>
      <c r="H290" s="7"/>
    </row>
    <row r="291" spans="1:8" ht="12.5">
      <c r="A291" s="6">
        <v>290</v>
      </c>
      <c r="B291" s="7"/>
      <c r="C291" s="7"/>
      <c r="D291" s="7"/>
      <c r="E291" s="7"/>
      <c r="F291" s="7"/>
      <c r="G291" s="7"/>
      <c r="H291" s="7"/>
    </row>
    <row r="292" spans="1:8" ht="12.5">
      <c r="A292" s="6">
        <v>291</v>
      </c>
      <c r="B292" s="7"/>
      <c r="C292" s="7"/>
      <c r="D292" s="7"/>
      <c r="E292" s="7"/>
      <c r="F292" s="7"/>
      <c r="G292" s="7"/>
      <c r="H292" s="7"/>
    </row>
    <row r="293" spans="1:8" ht="12.5">
      <c r="A293" s="6">
        <v>292</v>
      </c>
      <c r="B293" s="7"/>
      <c r="C293" s="7"/>
      <c r="D293" s="7"/>
      <c r="E293" s="7"/>
      <c r="F293" s="7"/>
      <c r="G293" s="7"/>
      <c r="H293" s="7"/>
    </row>
    <row r="294" spans="1:8" ht="12.5">
      <c r="A294" s="6">
        <v>293</v>
      </c>
      <c r="B294" s="7"/>
      <c r="C294" s="7"/>
      <c r="D294" s="7"/>
      <c r="E294" s="7"/>
      <c r="F294" s="7"/>
      <c r="G294" s="7"/>
      <c r="H294" s="7"/>
    </row>
    <row r="295" spans="1:8" ht="12.5">
      <c r="A295" s="6">
        <v>294</v>
      </c>
      <c r="B295" s="7"/>
      <c r="C295" s="7"/>
      <c r="D295" s="7"/>
      <c r="E295" s="7"/>
      <c r="F295" s="7"/>
      <c r="G295" s="7"/>
      <c r="H295" s="7"/>
    </row>
    <row r="296" spans="1:8" ht="12.5">
      <c r="A296" s="6">
        <v>295</v>
      </c>
      <c r="B296" s="7"/>
      <c r="C296" s="7"/>
      <c r="D296" s="7"/>
      <c r="E296" s="7"/>
      <c r="F296" s="7"/>
      <c r="G296" s="7"/>
      <c r="H296" s="7"/>
    </row>
    <row r="297" spans="1:8" ht="12.5">
      <c r="A297" s="6">
        <v>296</v>
      </c>
      <c r="B297" s="7"/>
      <c r="C297" s="7"/>
      <c r="D297" s="7"/>
      <c r="E297" s="7"/>
      <c r="F297" s="7"/>
      <c r="G297" s="7"/>
      <c r="H297" s="7"/>
    </row>
    <row r="298" spans="1:8" ht="12.5">
      <c r="A298" s="6">
        <v>297</v>
      </c>
      <c r="B298" s="7"/>
      <c r="C298" s="7"/>
      <c r="D298" s="7"/>
      <c r="E298" s="7"/>
      <c r="F298" s="7"/>
      <c r="G298" s="7"/>
      <c r="H298" s="7"/>
    </row>
    <row r="299" spans="1:8" ht="12.5">
      <c r="A299" s="6">
        <v>298</v>
      </c>
      <c r="B299" s="7"/>
      <c r="C299" s="7"/>
      <c r="D299" s="7"/>
      <c r="E299" s="7"/>
      <c r="F299" s="7"/>
      <c r="G299" s="7"/>
      <c r="H299" s="7"/>
    </row>
    <row r="300" spans="1:8" ht="12.5">
      <c r="A300" s="6">
        <v>299</v>
      </c>
      <c r="B300" s="7"/>
      <c r="C300" s="7"/>
      <c r="D300" s="7"/>
      <c r="E300" s="7"/>
      <c r="F300" s="7"/>
      <c r="G300" s="7"/>
      <c r="H300" s="7"/>
    </row>
    <row r="301" spans="1:8" ht="12.5">
      <c r="A301" s="6">
        <v>300</v>
      </c>
      <c r="B301" s="7"/>
      <c r="C301" s="7"/>
      <c r="D301" s="7"/>
      <c r="E301" s="7"/>
      <c r="F301" s="7"/>
      <c r="G301" s="7"/>
      <c r="H301" s="7"/>
    </row>
    <row r="302" spans="1:8" ht="12.5">
      <c r="A302" s="6">
        <v>301</v>
      </c>
      <c r="B302" s="7"/>
      <c r="C302" s="7"/>
      <c r="D302" s="7"/>
      <c r="E302" s="7"/>
      <c r="F302" s="7"/>
      <c r="G302" s="7"/>
      <c r="H302" s="7"/>
    </row>
    <row r="303" spans="1:8" ht="12.5">
      <c r="A303" s="6">
        <v>302</v>
      </c>
      <c r="B303" s="7"/>
      <c r="C303" s="7"/>
      <c r="D303" s="7"/>
      <c r="E303" s="7"/>
      <c r="F303" s="7"/>
      <c r="G303" s="7"/>
      <c r="H303" s="7"/>
    </row>
    <row r="304" spans="1:8" ht="12.5">
      <c r="A304" s="6">
        <v>303</v>
      </c>
      <c r="B304" s="7"/>
      <c r="C304" s="7"/>
      <c r="D304" s="7"/>
      <c r="E304" s="7"/>
      <c r="F304" s="7"/>
      <c r="G304" s="7"/>
      <c r="H304" s="7"/>
    </row>
    <row r="305" spans="1:8" ht="12.5">
      <c r="A305" s="6">
        <v>304</v>
      </c>
      <c r="B305" s="7"/>
      <c r="C305" s="7"/>
      <c r="D305" s="7"/>
      <c r="E305" s="7"/>
      <c r="F305" s="7"/>
      <c r="G305" s="7"/>
      <c r="H305" s="7"/>
    </row>
    <row r="306" spans="1:8" ht="12.5">
      <c r="A306" s="6">
        <v>305</v>
      </c>
      <c r="B306" s="7"/>
      <c r="C306" s="7"/>
      <c r="D306" s="7"/>
      <c r="E306" s="7"/>
      <c r="F306" s="7"/>
      <c r="G306" s="7"/>
      <c r="H306" s="7"/>
    </row>
    <row r="307" spans="1:8" ht="12.5">
      <c r="A307" s="6">
        <v>306</v>
      </c>
      <c r="B307" s="7"/>
      <c r="C307" s="7"/>
      <c r="D307" s="7"/>
      <c r="E307" s="7"/>
      <c r="F307" s="7"/>
      <c r="G307" s="7"/>
      <c r="H307" s="7"/>
    </row>
    <row r="308" spans="1:8" ht="12.5">
      <c r="A308" s="6">
        <v>307</v>
      </c>
      <c r="B308" s="7"/>
      <c r="C308" s="7"/>
      <c r="D308" s="7"/>
      <c r="E308" s="7"/>
      <c r="F308" s="7"/>
      <c r="G308" s="7"/>
      <c r="H308" s="7"/>
    </row>
    <row r="309" spans="1:8" ht="12.5">
      <c r="A309" s="6">
        <v>308</v>
      </c>
      <c r="B309" s="7"/>
      <c r="C309" s="7"/>
      <c r="D309" s="7"/>
      <c r="E309" s="7"/>
      <c r="F309" s="7"/>
      <c r="G309" s="7"/>
      <c r="H309" s="7"/>
    </row>
    <row r="310" spans="1:8" ht="12.5">
      <c r="A310" s="6">
        <v>309</v>
      </c>
      <c r="B310" s="7"/>
      <c r="C310" s="7"/>
      <c r="D310" s="7"/>
      <c r="E310" s="7"/>
      <c r="F310" s="7"/>
      <c r="G310" s="7"/>
      <c r="H310" s="7"/>
    </row>
    <row r="311" spans="1:8" ht="12.5">
      <c r="A311" s="6">
        <v>310</v>
      </c>
      <c r="B311" s="7"/>
      <c r="C311" s="7"/>
      <c r="D311" s="7"/>
      <c r="E311" s="7"/>
      <c r="F311" s="7"/>
      <c r="G311" s="7"/>
      <c r="H311" s="7"/>
    </row>
    <row r="312" spans="1:8" ht="12.5">
      <c r="A312" s="6">
        <v>311</v>
      </c>
      <c r="B312" s="7"/>
      <c r="C312" s="7"/>
      <c r="D312" s="7"/>
      <c r="E312" s="7"/>
      <c r="F312" s="7"/>
      <c r="G312" s="7"/>
      <c r="H312" s="7"/>
    </row>
    <row r="313" spans="1:8" ht="12.5">
      <c r="A313" s="6">
        <v>312</v>
      </c>
      <c r="B313" s="7"/>
      <c r="C313" s="7"/>
      <c r="D313" s="7"/>
      <c r="E313" s="7"/>
      <c r="F313" s="7"/>
      <c r="G313" s="7"/>
      <c r="H313" s="7"/>
    </row>
    <row r="314" spans="1:8" ht="12.5">
      <c r="A314" s="6">
        <v>313</v>
      </c>
      <c r="B314" s="7"/>
      <c r="C314" s="7"/>
      <c r="D314" s="7"/>
      <c r="E314" s="7"/>
      <c r="F314" s="7"/>
      <c r="G314" s="7"/>
      <c r="H314" s="7"/>
    </row>
    <row r="315" spans="1:8" ht="12.5">
      <c r="A315" s="6">
        <v>314</v>
      </c>
      <c r="B315" s="7"/>
      <c r="C315" s="7"/>
      <c r="D315" s="7"/>
      <c r="E315" s="7"/>
      <c r="F315" s="7"/>
      <c r="G315" s="7"/>
      <c r="H315" s="7"/>
    </row>
    <row r="316" spans="1:8" ht="12.5">
      <c r="A316" s="6">
        <v>315</v>
      </c>
      <c r="B316" s="7"/>
      <c r="C316" s="7"/>
      <c r="D316" s="7"/>
      <c r="E316" s="7"/>
      <c r="F316" s="7"/>
      <c r="G316" s="7"/>
      <c r="H316" s="7"/>
    </row>
    <row r="317" spans="1:8" ht="12.5">
      <c r="A317" s="6">
        <v>316</v>
      </c>
      <c r="B317" s="7"/>
      <c r="C317" s="7"/>
      <c r="D317" s="7"/>
      <c r="E317" s="7"/>
      <c r="F317" s="7"/>
      <c r="G317" s="7"/>
      <c r="H317" s="7"/>
    </row>
    <row r="318" spans="1:8" ht="12.5">
      <c r="A318" s="6">
        <v>317</v>
      </c>
      <c r="B318" s="7"/>
      <c r="C318" s="7"/>
      <c r="D318" s="7"/>
      <c r="E318" s="7"/>
      <c r="F318" s="7"/>
      <c r="G318" s="7"/>
      <c r="H318" s="7"/>
    </row>
    <row r="319" spans="1:8" ht="12.5">
      <c r="A319" s="6">
        <v>318</v>
      </c>
      <c r="B319" s="7"/>
      <c r="C319" s="7"/>
      <c r="D319" s="7"/>
      <c r="E319" s="7"/>
      <c r="F319" s="7"/>
      <c r="G319" s="7"/>
      <c r="H319" s="7"/>
    </row>
    <row r="320" spans="1:8" ht="12.5">
      <c r="A320" s="6">
        <v>319</v>
      </c>
      <c r="B320" s="7"/>
      <c r="C320" s="7"/>
      <c r="D320" s="7"/>
      <c r="E320" s="7"/>
      <c r="F320" s="7"/>
      <c r="G320" s="7"/>
      <c r="H320" s="7"/>
    </row>
    <row r="321" spans="1:8" ht="12.5">
      <c r="A321" s="6">
        <v>320</v>
      </c>
      <c r="B321" s="7"/>
      <c r="C321" s="7"/>
      <c r="D321" s="7"/>
      <c r="E321" s="7"/>
      <c r="F321" s="7"/>
      <c r="G321" s="7"/>
      <c r="H321" s="7"/>
    </row>
    <row r="322" spans="1:8" ht="12.5">
      <c r="A322" s="6">
        <v>321</v>
      </c>
      <c r="B322" s="7"/>
      <c r="C322" s="7"/>
      <c r="D322" s="7"/>
      <c r="E322" s="7"/>
      <c r="F322" s="7"/>
      <c r="G322" s="7"/>
      <c r="H322" s="7"/>
    </row>
    <row r="323" spans="1:8" ht="12.5">
      <c r="A323" s="6">
        <v>322</v>
      </c>
      <c r="B323" s="7"/>
      <c r="C323" s="7"/>
      <c r="D323" s="7"/>
      <c r="E323" s="7"/>
      <c r="F323" s="7"/>
      <c r="G323" s="7"/>
      <c r="H323" s="7"/>
    </row>
    <row r="324" spans="1:8" ht="12.5">
      <c r="A324" s="6">
        <v>323</v>
      </c>
      <c r="B324" s="7"/>
      <c r="C324" s="7"/>
      <c r="D324" s="7"/>
      <c r="E324" s="7"/>
      <c r="F324" s="7"/>
      <c r="G324" s="7"/>
      <c r="H324" s="7"/>
    </row>
    <row r="325" spans="1:8" ht="12.5">
      <c r="A325" s="6">
        <v>324</v>
      </c>
      <c r="B325" s="7"/>
      <c r="C325" s="7"/>
      <c r="D325" s="7"/>
      <c r="E325" s="7"/>
      <c r="F325" s="7"/>
      <c r="G325" s="7"/>
      <c r="H325" s="7"/>
    </row>
    <row r="326" spans="1:8" ht="12.5">
      <c r="A326" s="6">
        <v>325</v>
      </c>
      <c r="B326" s="7"/>
      <c r="C326" s="7"/>
      <c r="D326" s="7"/>
      <c r="E326" s="7"/>
      <c r="F326" s="7"/>
      <c r="G326" s="7"/>
      <c r="H326" s="7"/>
    </row>
    <row r="327" spans="1:8" ht="12.5">
      <c r="A327" s="6">
        <v>326</v>
      </c>
      <c r="B327" s="7"/>
      <c r="C327" s="7"/>
      <c r="D327" s="7"/>
      <c r="E327" s="7"/>
      <c r="F327" s="7"/>
      <c r="G327" s="7"/>
      <c r="H327" s="7"/>
    </row>
    <row r="328" spans="1:8" ht="12.5">
      <c r="A328" s="6">
        <v>327</v>
      </c>
      <c r="B328" s="7"/>
      <c r="C328" s="7"/>
      <c r="D328" s="7"/>
      <c r="E328" s="7"/>
      <c r="F328" s="7"/>
      <c r="G328" s="7"/>
      <c r="H328" s="7"/>
    </row>
    <row r="329" spans="1:8" ht="12.5">
      <c r="A329" s="6">
        <v>328</v>
      </c>
      <c r="B329" s="7"/>
      <c r="C329" s="7"/>
      <c r="D329" s="7"/>
      <c r="E329" s="7"/>
      <c r="F329" s="7"/>
      <c r="G329" s="7"/>
      <c r="H329" s="7"/>
    </row>
    <row r="330" spans="1:8" ht="12.5">
      <c r="A330" s="6">
        <v>329</v>
      </c>
      <c r="B330" s="7"/>
      <c r="C330" s="7"/>
      <c r="D330" s="7"/>
      <c r="E330" s="7"/>
      <c r="F330" s="7"/>
      <c r="G330" s="7"/>
      <c r="H330" s="7"/>
    </row>
    <row r="331" spans="1:8" ht="12.5">
      <c r="A331" s="6">
        <v>330</v>
      </c>
      <c r="B331" s="7"/>
      <c r="C331" s="7"/>
      <c r="D331" s="7"/>
      <c r="E331" s="7"/>
      <c r="F331" s="7"/>
      <c r="G331" s="7"/>
      <c r="H331" s="7"/>
    </row>
    <row r="332" spans="1:8" ht="12.5">
      <c r="A332" s="6">
        <v>331</v>
      </c>
      <c r="B332" s="7"/>
      <c r="C332" s="7"/>
      <c r="D332" s="7"/>
      <c r="E332" s="7"/>
      <c r="F332" s="7"/>
      <c r="G332" s="7"/>
      <c r="H332" s="7"/>
    </row>
    <row r="333" spans="1:8" ht="12.5">
      <c r="A333" s="6">
        <v>332</v>
      </c>
      <c r="B333" s="7"/>
      <c r="C333" s="7"/>
      <c r="D333" s="7"/>
      <c r="E333" s="7"/>
      <c r="F333" s="7"/>
      <c r="G333" s="7"/>
      <c r="H333" s="7"/>
    </row>
    <row r="334" spans="1:8" ht="12.5">
      <c r="A334" s="6">
        <v>333</v>
      </c>
      <c r="B334" s="7"/>
      <c r="C334" s="7"/>
      <c r="D334" s="7"/>
      <c r="E334" s="7"/>
      <c r="F334" s="7"/>
      <c r="G334" s="7"/>
      <c r="H334" s="7"/>
    </row>
    <row r="335" spans="1:8" ht="12.5">
      <c r="A335" s="6">
        <v>334</v>
      </c>
      <c r="B335" s="7"/>
      <c r="C335" s="7"/>
      <c r="D335" s="7"/>
      <c r="E335" s="7"/>
      <c r="F335" s="7"/>
      <c r="G335" s="7"/>
      <c r="H335" s="7"/>
    </row>
    <row r="336" spans="1:8" ht="12.5">
      <c r="A336" s="6">
        <v>335</v>
      </c>
      <c r="B336" s="7"/>
      <c r="C336" s="7"/>
      <c r="D336" s="7"/>
      <c r="E336" s="7"/>
      <c r="F336" s="7"/>
      <c r="G336" s="7"/>
      <c r="H336" s="7"/>
    </row>
    <row r="337" spans="1:8" ht="12.5">
      <c r="A337" s="6">
        <v>336</v>
      </c>
      <c r="B337" s="7"/>
      <c r="C337" s="7"/>
      <c r="D337" s="7"/>
      <c r="E337" s="7"/>
      <c r="F337" s="7"/>
      <c r="G337" s="7"/>
      <c r="H337" s="7"/>
    </row>
    <row r="338" spans="1:8" ht="12.5">
      <c r="A338" s="6">
        <v>337</v>
      </c>
      <c r="B338" s="7"/>
      <c r="C338" s="7"/>
      <c r="D338" s="7"/>
      <c r="E338" s="7"/>
      <c r="F338" s="7"/>
      <c r="G338" s="7"/>
      <c r="H338" s="7"/>
    </row>
    <row r="339" spans="1:8" ht="12.5">
      <c r="A339" s="6">
        <v>338</v>
      </c>
      <c r="B339" s="7"/>
      <c r="C339" s="7"/>
      <c r="D339" s="7"/>
      <c r="E339" s="7"/>
      <c r="F339" s="7"/>
      <c r="G339" s="7"/>
      <c r="H339" s="7"/>
    </row>
    <row r="340" spans="1:8" ht="12.5">
      <c r="A340" s="6">
        <v>339</v>
      </c>
      <c r="B340" s="7"/>
      <c r="C340" s="7"/>
      <c r="D340" s="7"/>
      <c r="E340" s="7"/>
      <c r="F340" s="7"/>
      <c r="G340" s="7"/>
      <c r="H340" s="7"/>
    </row>
    <row r="341" spans="1:8" ht="12.5">
      <c r="A341" s="6">
        <v>340</v>
      </c>
      <c r="B341" s="7"/>
      <c r="C341" s="7"/>
      <c r="D341" s="7"/>
      <c r="E341" s="7"/>
      <c r="F341" s="7"/>
      <c r="G341" s="7"/>
      <c r="H341" s="7"/>
    </row>
    <row r="342" spans="1:8" ht="12.5">
      <c r="A342" s="6">
        <v>341</v>
      </c>
      <c r="B342" s="7"/>
      <c r="C342" s="7"/>
      <c r="D342" s="7"/>
      <c r="E342" s="7"/>
      <c r="F342" s="7"/>
      <c r="G342" s="7"/>
      <c r="H342" s="7"/>
    </row>
    <row r="343" spans="1:8" ht="12.5">
      <c r="A343" s="6">
        <v>342</v>
      </c>
      <c r="B343" s="7"/>
      <c r="C343" s="7"/>
      <c r="D343" s="7"/>
      <c r="E343" s="7"/>
      <c r="F343" s="7"/>
      <c r="G343" s="7"/>
      <c r="H343" s="7"/>
    </row>
    <row r="344" spans="1:8" ht="12.5">
      <c r="A344" s="6">
        <v>343</v>
      </c>
      <c r="B344" s="7"/>
      <c r="C344" s="7"/>
      <c r="D344" s="7"/>
      <c r="E344" s="7"/>
      <c r="F344" s="7"/>
      <c r="G344" s="7"/>
      <c r="H344" s="7"/>
    </row>
    <row r="345" spans="1:8" ht="12.5">
      <c r="A345" s="6">
        <v>344</v>
      </c>
      <c r="B345" s="7"/>
      <c r="C345" s="7"/>
      <c r="D345" s="7"/>
      <c r="E345" s="7"/>
      <c r="F345" s="7"/>
      <c r="G345" s="7"/>
      <c r="H345" s="7"/>
    </row>
    <row r="346" spans="1:8" ht="12.5">
      <c r="A346" s="6">
        <v>345</v>
      </c>
      <c r="B346" s="7"/>
      <c r="C346" s="7"/>
      <c r="D346" s="7"/>
      <c r="E346" s="7"/>
      <c r="F346" s="7"/>
      <c r="G346" s="7"/>
      <c r="H346" s="7"/>
    </row>
    <row r="347" spans="1:8" ht="12.5">
      <c r="A347" s="6">
        <v>346</v>
      </c>
      <c r="B347" s="7"/>
      <c r="C347" s="7"/>
      <c r="D347" s="7"/>
      <c r="E347" s="7"/>
      <c r="F347" s="7"/>
      <c r="G347" s="7"/>
      <c r="H347" s="7"/>
    </row>
    <row r="348" spans="1:8" ht="12.5">
      <c r="A348" s="6">
        <v>347</v>
      </c>
      <c r="B348" s="7"/>
      <c r="C348" s="7"/>
      <c r="D348" s="7"/>
      <c r="E348" s="7"/>
      <c r="F348" s="7"/>
      <c r="G348" s="7"/>
      <c r="H348" s="7"/>
    </row>
    <row r="349" spans="1:8" ht="12.5">
      <c r="A349" s="6">
        <v>348</v>
      </c>
      <c r="B349" s="7"/>
      <c r="C349" s="7"/>
      <c r="D349" s="7"/>
      <c r="E349" s="7"/>
      <c r="F349" s="7"/>
      <c r="G349" s="7"/>
      <c r="H349" s="7"/>
    </row>
    <row r="350" spans="1:8" ht="12.5">
      <c r="A350" s="6">
        <v>349</v>
      </c>
      <c r="B350" s="7"/>
      <c r="C350" s="7"/>
      <c r="D350" s="7"/>
      <c r="E350" s="7"/>
      <c r="F350" s="7"/>
      <c r="G350" s="7"/>
      <c r="H350" s="7"/>
    </row>
    <row r="351" spans="1:8" ht="12.5">
      <c r="A351" s="6">
        <v>350</v>
      </c>
      <c r="B351" s="7"/>
      <c r="C351" s="7"/>
      <c r="D351" s="7"/>
      <c r="E351" s="7"/>
      <c r="F351" s="7"/>
      <c r="G351" s="7"/>
      <c r="H351" s="7"/>
    </row>
    <row r="352" spans="1:8" ht="12.5">
      <c r="A352" s="6">
        <v>351</v>
      </c>
      <c r="B352" s="7"/>
      <c r="C352" s="7"/>
      <c r="D352" s="7"/>
      <c r="E352" s="7"/>
      <c r="F352" s="7"/>
      <c r="G352" s="7"/>
      <c r="H352" s="7"/>
    </row>
    <row r="353" spans="1:8" ht="12.5">
      <c r="A353" s="6">
        <v>352</v>
      </c>
      <c r="B353" s="7"/>
      <c r="C353" s="7"/>
      <c r="D353" s="7"/>
      <c r="E353" s="7"/>
      <c r="F353" s="7"/>
      <c r="G353" s="7"/>
      <c r="H353" s="7"/>
    </row>
    <row r="354" spans="1:8" ht="12.5">
      <c r="A354" s="6">
        <v>353</v>
      </c>
      <c r="B354" s="7"/>
      <c r="C354" s="7"/>
      <c r="D354" s="7"/>
      <c r="E354" s="7"/>
      <c r="F354" s="7"/>
      <c r="G354" s="7"/>
      <c r="H354" s="7"/>
    </row>
    <row r="355" spans="1:8" ht="12.5">
      <c r="A355" s="6">
        <v>354</v>
      </c>
      <c r="B355" s="7"/>
      <c r="C355" s="7"/>
      <c r="D355" s="7"/>
      <c r="E355" s="7"/>
      <c r="F355" s="7"/>
      <c r="G355" s="7"/>
      <c r="H355" s="7"/>
    </row>
    <row r="356" spans="1:8" ht="12.5">
      <c r="A356" s="6">
        <v>355</v>
      </c>
      <c r="B356" s="7"/>
      <c r="C356" s="7"/>
      <c r="D356" s="7"/>
      <c r="E356" s="7"/>
      <c r="F356" s="7"/>
      <c r="G356" s="7"/>
      <c r="H356" s="7"/>
    </row>
    <row r="357" spans="1:8" ht="12.5">
      <c r="A357" s="6">
        <v>356</v>
      </c>
      <c r="B357" s="7"/>
      <c r="C357" s="7"/>
      <c r="D357" s="7"/>
      <c r="E357" s="7"/>
      <c r="F357" s="7"/>
      <c r="G357" s="7"/>
      <c r="H357" s="7"/>
    </row>
    <row r="358" spans="1:8" ht="12.5">
      <c r="A358" s="6">
        <v>357</v>
      </c>
      <c r="B358" s="7"/>
      <c r="C358" s="7"/>
      <c r="D358" s="7"/>
      <c r="E358" s="7"/>
      <c r="F358" s="7"/>
      <c r="G358" s="7"/>
      <c r="H358" s="7"/>
    </row>
    <row r="359" spans="1:8" ht="12.5">
      <c r="A359" s="6">
        <v>358</v>
      </c>
      <c r="B359" s="7"/>
      <c r="C359" s="7"/>
      <c r="D359" s="7"/>
      <c r="E359" s="7"/>
      <c r="F359" s="7"/>
      <c r="G359" s="7"/>
      <c r="H359" s="7"/>
    </row>
    <row r="360" spans="1:8" ht="12.5">
      <c r="A360" s="6">
        <v>359</v>
      </c>
      <c r="B360" s="7"/>
      <c r="C360" s="7"/>
      <c r="D360" s="7"/>
      <c r="E360" s="7"/>
      <c r="F360" s="7"/>
      <c r="G360" s="7"/>
      <c r="H360" s="7"/>
    </row>
    <row r="361" spans="1:8" ht="12.5">
      <c r="A361" s="6">
        <v>360</v>
      </c>
      <c r="B361" s="7"/>
      <c r="C361" s="7"/>
      <c r="D361" s="7"/>
      <c r="E361" s="7"/>
      <c r="F361" s="7"/>
      <c r="G361" s="7"/>
      <c r="H361" s="7"/>
    </row>
    <row r="362" spans="1:8" ht="12.5">
      <c r="A362" s="6">
        <v>361</v>
      </c>
      <c r="B362" s="7"/>
      <c r="C362" s="7"/>
      <c r="D362" s="7"/>
      <c r="E362" s="7"/>
      <c r="F362" s="7"/>
      <c r="G362" s="7"/>
      <c r="H362" s="7"/>
    </row>
    <row r="363" spans="1:8" ht="12.5">
      <c r="A363" s="6">
        <v>362</v>
      </c>
      <c r="B363" s="7"/>
      <c r="C363" s="7"/>
      <c r="D363" s="7"/>
      <c r="E363" s="7"/>
      <c r="F363" s="7"/>
      <c r="G363" s="7"/>
      <c r="H363" s="7"/>
    </row>
    <row r="364" spans="1:8" ht="12.5">
      <c r="A364" s="6">
        <v>363</v>
      </c>
      <c r="B364" s="7"/>
      <c r="C364" s="7"/>
      <c r="D364" s="7"/>
      <c r="E364" s="7"/>
      <c r="F364" s="7"/>
      <c r="G364" s="7"/>
      <c r="H364" s="7"/>
    </row>
    <row r="365" spans="1:8" ht="12.5">
      <c r="A365" s="6">
        <v>364</v>
      </c>
      <c r="B365" s="7"/>
      <c r="C365" s="7"/>
      <c r="D365" s="7"/>
      <c r="E365" s="7"/>
      <c r="F365" s="7"/>
      <c r="G365" s="7"/>
      <c r="H365" s="7"/>
    </row>
    <row r="366" spans="1:8" ht="12.5">
      <c r="A366" s="6">
        <v>365</v>
      </c>
      <c r="B366" s="7"/>
      <c r="C366" s="7"/>
      <c r="D366" s="7"/>
      <c r="E366" s="7"/>
      <c r="F366" s="7"/>
      <c r="G366" s="7"/>
      <c r="H366" s="7"/>
    </row>
    <row r="367" spans="1:8" ht="12.5">
      <c r="A367" s="6">
        <v>366</v>
      </c>
      <c r="B367" s="7"/>
      <c r="C367" s="7"/>
      <c r="D367" s="7"/>
      <c r="E367" s="7"/>
      <c r="F367" s="7"/>
      <c r="G367" s="7"/>
      <c r="H367" s="7"/>
    </row>
    <row r="368" spans="1:8" ht="12.5">
      <c r="A368" s="6">
        <v>367</v>
      </c>
      <c r="B368" s="7"/>
      <c r="C368" s="7"/>
      <c r="D368" s="7"/>
      <c r="E368" s="7"/>
      <c r="F368" s="7"/>
      <c r="G368" s="7"/>
      <c r="H368" s="7"/>
    </row>
    <row r="369" spans="1:8" ht="12.5">
      <c r="A369" s="6">
        <v>368</v>
      </c>
      <c r="B369" s="7"/>
      <c r="C369" s="7"/>
      <c r="D369" s="7"/>
      <c r="E369" s="7"/>
      <c r="F369" s="7"/>
      <c r="G369" s="7"/>
      <c r="H369" s="7"/>
    </row>
    <row r="370" spans="1:8" ht="12.5">
      <c r="A370" s="6">
        <v>369</v>
      </c>
      <c r="B370" s="7"/>
      <c r="C370" s="7"/>
      <c r="D370" s="7"/>
      <c r="E370" s="7"/>
      <c r="F370" s="7"/>
      <c r="G370" s="7"/>
      <c r="H370" s="7"/>
    </row>
    <row r="371" spans="1:8" ht="12.5">
      <c r="A371" s="6">
        <v>370</v>
      </c>
      <c r="B371" s="7"/>
      <c r="C371" s="7"/>
      <c r="D371" s="7"/>
      <c r="E371" s="7"/>
      <c r="F371" s="7"/>
      <c r="G371" s="7"/>
      <c r="H371" s="7"/>
    </row>
    <row r="372" spans="1:8" ht="12.5">
      <c r="A372" s="6">
        <v>371</v>
      </c>
      <c r="B372" s="7"/>
      <c r="C372" s="7"/>
      <c r="D372" s="7"/>
      <c r="E372" s="7"/>
      <c r="F372" s="7"/>
      <c r="G372" s="7"/>
      <c r="H372" s="7"/>
    </row>
    <row r="373" spans="1:8" ht="12.5">
      <c r="A373" s="6">
        <v>372</v>
      </c>
      <c r="B373" s="7"/>
      <c r="C373" s="7"/>
      <c r="D373" s="7"/>
      <c r="E373" s="7"/>
      <c r="F373" s="7"/>
      <c r="G373" s="7"/>
      <c r="H373" s="7"/>
    </row>
    <row r="374" spans="1:8" ht="12.5">
      <c r="A374" s="6">
        <v>373</v>
      </c>
      <c r="B374" s="7"/>
      <c r="C374" s="7"/>
      <c r="D374" s="7"/>
      <c r="E374" s="7"/>
      <c r="F374" s="7"/>
      <c r="G374" s="7"/>
      <c r="H374" s="7"/>
    </row>
    <row r="375" spans="1:8" ht="12.5">
      <c r="A375" s="6">
        <v>374</v>
      </c>
      <c r="B375" s="7"/>
      <c r="C375" s="7"/>
      <c r="D375" s="7"/>
      <c r="E375" s="7"/>
      <c r="F375" s="7"/>
      <c r="G375" s="7"/>
      <c r="H375" s="7"/>
    </row>
    <row r="376" spans="1:8" ht="12.5">
      <c r="A376" s="6">
        <v>375</v>
      </c>
      <c r="B376" s="7"/>
      <c r="C376" s="7"/>
      <c r="D376" s="7"/>
      <c r="E376" s="7"/>
      <c r="F376" s="7"/>
      <c r="G376" s="7"/>
      <c r="H376" s="7"/>
    </row>
    <row r="377" spans="1:8" ht="12.5">
      <c r="A377" s="6">
        <v>376</v>
      </c>
      <c r="B377" s="7"/>
      <c r="C377" s="7"/>
      <c r="D377" s="7"/>
      <c r="E377" s="7"/>
      <c r="F377" s="7"/>
      <c r="G377" s="7"/>
      <c r="H377" s="7"/>
    </row>
    <row r="378" spans="1:8" ht="12.5">
      <c r="A378" s="6">
        <v>377</v>
      </c>
      <c r="B378" s="7"/>
      <c r="C378" s="7"/>
      <c r="D378" s="7"/>
      <c r="E378" s="7"/>
      <c r="F378" s="7"/>
      <c r="G378" s="7"/>
      <c r="H378" s="7"/>
    </row>
    <row r="379" spans="1:8" ht="12.5">
      <c r="A379" s="6">
        <v>378</v>
      </c>
      <c r="B379" s="7"/>
      <c r="C379" s="7"/>
      <c r="D379" s="7"/>
      <c r="E379" s="7"/>
      <c r="F379" s="7"/>
      <c r="G379" s="7"/>
      <c r="H379" s="7"/>
    </row>
    <row r="380" spans="1:8" ht="12.5">
      <c r="A380" s="6">
        <v>379</v>
      </c>
      <c r="B380" s="7"/>
      <c r="C380" s="7"/>
      <c r="D380" s="7"/>
      <c r="E380" s="7"/>
      <c r="F380" s="7"/>
      <c r="G380" s="7"/>
      <c r="H380" s="7"/>
    </row>
    <row r="381" spans="1:8" ht="12.5">
      <c r="A381" s="6">
        <v>380</v>
      </c>
      <c r="B381" s="7"/>
      <c r="C381" s="7"/>
      <c r="D381" s="7"/>
      <c r="E381" s="7"/>
      <c r="F381" s="7"/>
      <c r="G381" s="7"/>
      <c r="H381" s="7"/>
    </row>
    <row r="382" spans="1:8" ht="12.5">
      <c r="A382" s="6">
        <v>381</v>
      </c>
      <c r="B382" s="7"/>
      <c r="C382" s="7"/>
      <c r="D382" s="7"/>
      <c r="E382" s="7"/>
      <c r="F382" s="7"/>
      <c r="G382" s="7"/>
      <c r="H382" s="7"/>
    </row>
    <row r="383" spans="1:8" ht="12.5">
      <c r="A383" s="6">
        <v>382</v>
      </c>
      <c r="B383" s="7"/>
      <c r="C383" s="7"/>
      <c r="D383" s="7"/>
      <c r="E383" s="7"/>
      <c r="F383" s="7"/>
      <c r="G383" s="7"/>
      <c r="H383" s="7"/>
    </row>
    <row r="384" spans="1:8" ht="12.5">
      <c r="A384" s="6">
        <v>383</v>
      </c>
      <c r="B384" s="7"/>
      <c r="C384" s="7"/>
      <c r="D384" s="7"/>
      <c r="E384" s="7"/>
      <c r="F384" s="7"/>
      <c r="G384" s="7"/>
      <c r="H384" s="7"/>
    </row>
    <row r="385" spans="1:8" ht="12.5">
      <c r="A385" s="6">
        <v>384</v>
      </c>
      <c r="B385" s="7"/>
      <c r="C385" s="7"/>
      <c r="D385" s="7"/>
      <c r="E385" s="7"/>
      <c r="F385" s="7"/>
      <c r="G385" s="7"/>
      <c r="H385" s="7"/>
    </row>
    <row r="386" spans="1:8" ht="12.5">
      <c r="A386" s="6">
        <v>385</v>
      </c>
      <c r="B386" s="7"/>
      <c r="C386" s="7"/>
      <c r="D386" s="7"/>
      <c r="E386" s="7"/>
      <c r="F386" s="7"/>
      <c r="G386" s="7"/>
      <c r="H386" s="7"/>
    </row>
    <row r="387" spans="1:8" ht="12.5">
      <c r="A387" s="6">
        <v>386</v>
      </c>
      <c r="B387" s="7"/>
      <c r="C387" s="7"/>
      <c r="D387" s="7"/>
      <c r="E387" s="7"/>
      <c r="F387" s="7"/>
      <c r="G387" s="7"/>
      <c r="H387" s="7"/>
    </row>
    <row r="388" spans="1:8" ht="12.5">
      <c r="A388" s="6">
        <v>387</v>
      </c>
      <c r="B388" s="7"/>
      <c r="C388" s="7"/>
      <c r="D388" s="7"/>
      <c r="E388" s="7"/>
      <c r="F388" s="7"/>
      <c r="G388" s="7"/>
      <c r="H388" s="7"/>
    </row>
    <row r="389" spans="1:8" ht="12.5">
      <c r="A389" s="6">
        <v>388</v>
      </c>
      <c r="B389" s="7"/>
      <c r="C389" s="7"/>
      <c r="D389" s="7"/>
      <c r="E389" s="7"/>
      <c r="F389" s="7"/>
      <c r="G389" s="7"/>
      <c r="H389" s="7"/>
    </row>
    <row r="390" spans="1:8" ht="12.5">
      <c r="A390" s="6">
        <v>389</v>
      </c>
      <c r="B390" s="7"/>
      <c r="C390" s="7"/>
      <c r="D390" s="7"/>
      <c r="E390" s="7"/>
      <c r="F390" s="7"/>
      <c r="G390" s="7"/>
      <c r="H390" s="7"/>
    </row>
    <row r="391" spans="1:8" ht="12.5">
      <c r="A391" s="6">
        <v>390</v>
      </c>
      <c r="B391" s="7"/>
      <c r="C391" s="7"/>
      <c r="D391" s="7"/>
      <c r="E391" s="7"/>
      <c r="F391" s="7"/>
      <c r="G391" s="7"/>
      <c r="H391" s="7"/>
    </row>
    <row r="392" spans="1:8" ht="12.5">
      <c r="A392" s="6">
        <v>391</v>
      </c>
      <c r="B392" s="7"/>
      <c r="C392" s="7"/>
      <c r="D392" s="7"/>
      <c r="E392" s="7"/>
      <c r="F392" s="7"/>
      <c r="G392" s="7"/>
      <c r="H392" s="7"/>
    </row>
    <row r="393" spans="1:8" ht="12.5">
      <c r="A393" s="6">
        <v>392</v>
      </c>
      <c r="B393" s="7"/>
      <c r="C393" s="7"/>
      <c r="D393" s="7"/>
      <c r="E393" s="7"/>
      <c r="F393" s="7"/>
      <c r="G393" s="7"/>
      <c r="H393" s="7"/>
    </row>
    <row r="394" spans="1:8" ht="12.5">
      <c r="A394" s="6">
        <v>393</v>
      </c>
      <c r="B394" s="7"/>
      <c r="C394" s="7"/>
      <c r="D394" s="7"/>
      <c r="E394" s="7"/>
      <c r="F394" s="7"/>
      <c r="G394" s="7"/>
      <c r="H394" s="7"/>
    </row>
    <row r="395" spans="1:8" ht="12.5">
      <c r="A395" s="6">
        <v>394</v>
      </c>
      <c r="B395" s="7"/>
      <c r="C395" s="7"/>
      <c r="D395" s="7"/>
      <c r="E395" s="7"/>
      <c r="F395" s="7"/>
      <c r="G395" s="7"/>
      <c r="H395" s="7"/>
    </row>
    <row r="396" spans="1:8" ht="12.5">
      <c r="A396" s="6">
        <v>395</v>
      </c>
      <c r="B396" s="7"/>
      <c r="C396" s="7"/>
      <c r="D396" s="7"/>
      <c r="E396" s="7"/>
      <c r="F396" s="7"/>
      <c r="G396" s="7"/>
      <c r="H396" s="7"/>
    </row>
    <row r="397" spans="1:8" ht="12.5">
      <c r="A397" s="6">
        <v>396</v>
      </c>
      <c r="B397" s="7"/>
      <c r="C397" s="7"/>
      <c r="D397" s="7"/>
      <c r="E397" s="7"/>
      <c r="F397" s="7"/>
      <c r="G397" s="7"/>
      <c r="H397" s="7"/>
    </row>
    <row r="398" spans="1:8" ht="12.5">
      <c r="A398" s="6">
        <v>397</v>
      </c>
      <c r="B398" s="7"/>
      <c r="C398" s="7"/>
      <c r="D398" s="7"/>
      <c r="E398" s="7"/>
      <c r="F398" s="7"/>
      <c r="G398" s="7"/>
      <c r="H398" s="7"/>
    </row>
    <row r="399" spans="1:8" ht="12.5">
      <c r="A399" s="6">
        <v>398</v>
      </c>
      <c r="B399" s="7"/>
      <c r="C399" s="7"/>
      <c r="D399" s="7"/>
      <c r="E399" s="7"/>
      <c r="F399" s="7"/>
      <c r="G399" s="7"/>
      <c r="H399" s="7"/>
    </row>
    <row r="400" spans="1:8" ht="12.5">
      <c r="A400" s="6">
        <v>399</v>
      </c>
      <c r="B400" s="7"/>
      <c r="C400" s="7"/>
      <c r="D400" s="7"/>
      <c r="E400" s="7"/>
      <c r="F400" s="7"/>
      <c r="G400" s="7"/>
      <c r="H400" s="7"/>
    </row>
    <row r="401" spans="1:8" ht="12.5">
      <c r="A401" s="6">
        <v>400</v>
      </c>
      <c r="B401" s="7"/>
      <c r="C401" s="7"/>
      <c r="D401" s="7"/>
      <c r="E401" s="7"/>
      <c r="F401" s="7"/>
      <c r="G401" s="7"/>
      <c r="H401" s="7"/>
    </row>
    <row r="402" spans="1:8" ht="12.5">
      <c r="A402" s="6">
        <v>401</v>
      </c>
      <c r="B402" s="7"/>
      <c r="C402" s="7"/>
      <c r="D402" s="7"/>
      <c r="E402" s="7"/>
      <c r="F402" s="7"/>
      <c r="G402" s="7"/>
      <c r="H402" s="7"/>
    </row>
    <row r="403" spans="1:8" ht="12.5">
      <c r="A403" s="6">
        <v>402</v>
      </c>
      <c r="B403" s="7"/>
      <c r="C403" s="7"/>
      <c r="D403" s="7"/>
      <c r="E403" s="7"/>
      <c r="F403" s="7"/>
      <c r="G403" s="7"/>
      <c r="H403" s="7"/>
    </row>
    <row r="404" spans="1:8" ht="12.5">
      <c r="A404" s="6">
        <v>403</v>
      </c>
      <c r="B404" s="7"/>
      <c r="C404" s="7"/>
      <c r="D404" s="7"/>
      <c r="E404" s="7"/>
      <c r="F404" s="7"/>
      <c r="G404" s="7"/>
      <c r="H404" s="7"/>
    </row>
    <row r="405" spans="1:8" ht="12.5">
      <c r="A405" s="6">
        <v>404</v>
      </c>
      <c r="B405" s="7"/>
      <c r="C405" s="7"/>
      <c r="D405" s="7"/>
      <c r="E405" s="7"/>
      <c r="F405" s="7"/>
      <c r="G405" s="7"/>
      <c r="H405" s="7"/>
    </row>
    <row r="406" spans="1:8" ht="12.5">
      <c r="A406" s="6">
        <v>405</v>
      </c>
      <c r="B406" s="7"/>
      <c r="C406" s="7"/>
      <c r="D406" s="7"/>
      <c r="E406" s="7"/>
      <c r="F406" s="7"/>
      <c r="G406" s="7"/>
      <c r="H406" s="7"/>
    </row>
    <row r="407" spans="1:8" ht="12.5">
      <c r="A407" s="6">
        <v>406</v>
      </c>
      <c r="B407" s="7"/>
      <c r="C407" s="7"/>
      <c r="D407" s="7"/>
      <c r="E407" s="7"/>
      <c r="F407" s="7"/>
      <c r="G407" s="7"/>
      <c r="H407" s="7"/>
    </row>
    <row r="408" spans="1:8" ht="12.5">
      <c r="A408" s="6">
        <v>407</v>
      </c>
      <c r="B408" s="7"/>
      <c r="C408" s="7"/>
      <c r="D408" s="7"/>
      <c r="E408" s="7"/>
      <c r="F408" s="7"/>
      <c r="G408" s="7"/>
      <c r="H408" s="7"/>
    </row>
    <row r="409" spans="1:8" ht="12.5">
      <c r="A409" s="6">
        <v>408</v>
      </c>
      <c r="B409" s="7"/>
      <c r="C409" s="7"/>
      <c r="D409" s="7"/>
      <c r="E409" s="7"/>
      <c r="F409" s="7"/>
      <c r="G409" s="7"/>
      <c r="H409" s="7"/>
    </row>
    <row r="410" spans="1:8" ht="12.5">
      <c r="A410" s="6">
        <v>409</v>
      </c>
      <c r="B410" s="7"/>
      <c r="C410" s="7"/>
      <c r="D410" s="7"/>
      <c r="E410" s="7"/>
      <c r="F410" s="7"/>
      <c r="G410" s="7"/>
      <c r="H410" s="7"/>
    </row>
    <row r="411" spans="1:8" ht="12.5">
      <c r="A411" s="6">
        <v>410</v>
      </c>
      <c r="B411" s="7"/>
      <c r="C411" s="7"/>
      <c r="D411" s="7"/>
      <c r="E411" s="7"/>
      <c r="F411" s="7"/>
      <c r="G411" s="7"/>
      <c r="H411" s="7"/>
    </row>
    <row r="412" spans="1:8" ht="12.5">
      <c r="A412" s="6">
        <v>411</v>
      </c>
      <c r="B412" s="7"/>
      <c r="C412" s="7"/>
      <c r="D412" s="7"/>
      <c r="E412" s="7"/>
      <c r="F412" s="7"/>
      <c r="G412" s="7"/>
      <c r="H412" s="7"/>
    </row>
    <row r="413" spans="1:8" ht="12.5">
      <c r="A413" s="6">
        <v>412</v>
      </c>
      <c r="B413" s="7"/>
      <c r="C413" s="7"/>
      <c r="D413" s="7"/>
      <c r="E413" s="7"/>
      <c r="F413" s="7"/>
      <c r="G413" s="7"/>
      <c r="H413" s="7"/>
    </row>
    <row r="414" spans="1:8" ht="12.5">
      <c r="A414" s="6">
        <v>413</v>
      </c>
      <c r="B414" s="7"/>
      <c r="C414" s="7"/>
      <c r="D414" s="7"/>
      <c r="E414" s="7"/>
      <c r="F414" s="7"/>
      <c r="G414" s="7"/>
      <c r="H414" s="7"/>
    </row>
    <row r="415" spans="1:8" ht="12.5">
      <c r="A415" s="6">
        <v>414</v>
      </c>
      <c r="B415" s="7"/>
      <c r="C415" s="7"/>
      <c r="D415" s="7"/>
      <c r="E415" s="7"/>
      <c r="F415" s="7"/>
      <c r="G415" s="7"/>
      <c r="H415" s="7"/>
    </row>
    <row r="416" spans="1:8" ht="12.5">
      <c r="A416" s="6">
        <v>415</v>
      </c>
      <c r="B416" s="7"/>
      <c r="C416" s="7"/>
      <c r="D416" s="7"/>
      <c r="E416" s="7"/>
      <c r="F416" s="7"/>
      <c r="G416" s="7"/>
      <c r="H416" s="7"/>
    </row>
    <row r="417" spans="1:8" ht="12.5">
      <c r="A417" s="6">
        <v>416</v>
      </c>
      <c r="B417" s="7"/>
      <c r="C417" s="7"/>
      <c r="D417" s="7"/>
      <c r="E417" s="7"/>
      <c r="F417" s="7"/>
      <c r="G417" s="7"/>
      <c r="H417" s="7"/>
    </row>
    <row r="418" spans="1:8" ht="12.5">
      <c r="A418" s="6">
        <v>417</v>
      </c>
      <c r="B418" s="7"/>
      <c r="C418" s="7"/>
      <c r="D418" s="7"/>
      <c r="E418" s="7"/>
      <c r="F418" s="7"/>
      <c r="G418" s="7"/>
      <c r="H418" s="7"/>
    </row>
    <row r="419" spans="1:8" ht="12.5">
      <c r="A419" s="6">
        <v>418</v>
      </c>
      <c r="B419" s="7"/>
      <c r="C419" s="7"/>
      <c r="D419" s="7"/>
      <c r="E419" s="7"/>
      <c r="F419" s="7"/>
      <c r="G419" s="7"/>
      <c r="H419" s="7"/>
    </row>
    <row r="420" spans="1:8" ht="12.5">
      <c r="A420" s="6">
        <v>419</v>
      </c>
      <c r="B420" s="7"/>
      <c r="C420" s="7"/>
      <c r="D420" s="7"/>
      <c r="E420" s="7"/>
      <c r="F420" s="7"/>
      <c r="G420" s="7"/>
      <c r="H420" s="7"/>
    </row>
    <row r="421" spans="1:8" ht="12.5">
      <c r="A421" s="6">
        <v>420</v>
      </c>
      <c r="B421" s="7"/>
      <c r="C421" s="7"/>
      <c r="D421" s="7"/>
      <c r="E421" s="7"/>
      <c r="F421" s="7"/>
      <c r="G421" s="7"/>
      <c r="H421" s="7"/>
    </row>
    <row r="422" spans="1:8" ht="12.5">
      <c r="A422" s="6">
        <v>421</v>
      </c>
      <c r="B422" s="7"/>
      <c r="C422" s="7"/>
      <c r="D422" s="7"/>
      <c r="E422" s="7"/>
      <c r="F422" s="7"/>
      <c r="G422" s="7"/>
      <c r="H422" s="7"/>
    </row>
    <row r="423" spans="1:8" ht="12.5">
      <c r="A423" s="6">
        <v>422</v>
      </c>
      <c r="B423" s="7"/>
      <c r="C423" s="7"/>
      <c r="D423" s="7"/>
      <c r="E423" s="7"/>
      <c r="F423" s="7"/>
      <c r="G423" s="7"/>
      <c r="H423" s="7"/>
    </row>
    <row r="424" spans="1:8" ht="12.5">
      <c r="A424" s="6">
        <v>423</v>
      </c>
      <c r="B424" s="7"/>
      <c r="C424" s="7"/>
      <c r="D424" s="7"/>
      <c r="E424" s="7"/>
      <c r="F424" s="7"/>
      <c r="G424" s="7"/>
      <c r="H424" s="7"/>
    </row>
    <row r="425" spans="1:8" ht="12.5">
      <c r="A425" s="6">
        <v>424</v>
      </c>
      <c r="B425" s="7"/>
      <c r="C425" s="7"/>
      <c r="D425" s="7"/>
      <c r="E425" s="7"/>
      <c r="F425" s="7"/>
      <c r="G425" s="7"/>
      <c r="H425" s="7"/>
    </row>
    <row r="426" spans="1:8" ht="12.5">
      <c r="A426" s="6">
        <v>425</v>
      </c>
      <c r="B426" s="7"/>
      <c r="C426" s="7"/>
      <c r="D426" s="7"/>
      <c r="E426" s="7"/>
      <c r="F426" s="7"/>
      <c r="G426" s="7"/>
      <c r="H426" s="7"/>
    </row>
    <row r="427" spans="1:8" ht="12.5">
      <c r="A427" s="6">
        <v>426</v>
      </c>
      <c r="B427" s="7"/>
      <c r="C427" s="7"/>
      <c r="D427" s="7"/>
      <c r="E427" s="7"/>
      <c r="F427" s="7"/>
      <c r="G427" s="7"/>
      <c r="H427" s="7"/>
    </row>
    <row r="428" spans="1:8" ht="12.5">
      <c r="A428" s="6">
        <v>427</v>
      </c>
      <c r="B428" s="7"/>
      <c r="C428" s="7"/>
      <c r="D428" s="7"/>
      <c r="E428" s="7"/>
      <c r="F428" s="7"/>
      <c r="G428" s="7"/>
      <c r="H428" s="7"/>
    </row>
    <row r="429" spans="1:8" ht="12.5">
      <c r="A429" s="6">
        <v>428</v>
      </c>
      <c r="B429" s="7"/>
      <c r="C429" s="7"/>
      <c r="D429" s="7"/>
      <c r="E429" s="7"/>
      <c r="F429" s="7"/>
      <c r="G429" s="7"/>
      <c r="H429" s="7"/>
    </row>
    <row r="430" spans="1:8" ht="12.5">
      <c r="A430" s="6">
        <v>429</v>
      </c>
      <c r="B430" s="7"/>
      <c r="C430" s="7"/>
      <c r="D430" s="7"/>
      <c r="E430" s="7"/>
      <c r="F430" s="7"/>
      <c r="G430" s="7"/>
      <c r="H430" s="7"/>
    </row>
    <row r="431" spans="1:8" ht="12.5">
      <c r="A431" s="6">
        <v>430</v>
      </c>
      <c r="B431" s="7"/>
      <c r="C431" s="7"/>
      <c r="D431" s="7"/>
      <c r="E431" s="7"/>
      <c r="F431" s="7"/>
      <c r="G431" s="7"/>
      <c r="H431" s="7"/>
    </row>
    <row r="432" spans="1:8" ht="12.5">
      <c r="A432" s="6">
        <v>431</v>
      </c>
      <c r="B432" s="7"/>
      <c r="C432" s="7"/>
      <c r="D432" s="7"/>
      <c r="E432" s="7"/>
      <c r="F432" s="7"/>
      <c r="G432" s="7"/>
      <c r="H432" s="7"/>
    </row>
    <row r="433" spans="1:8" ht="12.5">
      <c r="A433" s="6">
        <v>432</v>
      </c>
      <c r="B433" s="7"/>
      <c r="C433" s="7"/>
      <c r="D433" s="7"/>
      <c r="E433" s="7"/>
      <c r="F433" s="7"/>
      <c r="G433" s="7"/>
      <c r="H433" s="7"/>
    </row>
    <row r="434" spans="1:8" ht="12.5">
      <c r="A434" s="6">
        <v>433</v>
      </c>
      <c r="B434" s="7"/>
      <c r="C434" s="7"/>
      <c r="D434" s="7"/>
      <c r="E434" s="7"/>
      <c r="F434" s="7"/>
      <c r="G434" s="7"/>
      <c r="H434" s="7"/>
    </row>
    <row r="435" spans="1:8" ht="12.5">
      <c r="A435" s="6">
        <v>434</v>
      </c>
      <c r="B435" s="7"/>
      <c r="C435" s="7"/>
      <c r="D435" s="7"/>
      <c r="E435" s="7"/>
      <c r="F435" s="7"/>
      <c r="G435" s="7"/>
      <c r="H435" s="7"/>
    </row>
    <row r="436" spans="1:8" ht="12.5">
      <c r="A436" s="6">
        <v>435</v>
      </c>
      <c r="B436" s="7"/>
      <c r="C436" s="7"/>
      <c r="D436" s="7"/>
      <c r="E436" s="7"/>
      <c r="F436" s="7"/>
      <c r="G436" s="7"/>
      <c r="H436" s="7"/>
    </row>
    <row r="437" spans="1:8" ht="12.5">
      <c r="A437" s="6">
        <v>436</v>
      </c>
      <c r="B437" s="7"/>
      <c r="C437" s="7"/>
      <c r="D437" s="7"/>
      <c r="E437" s="7"/>
      <c r="F437" s="7"/>
      <c r="G437" s="7"/>
      <c r="H437" s="7"/>
    </row>
    <row r="438" spans="1:8" ht="12.5">
      <c r="A438" s="6">
        <v>437</v>
      </c>
      <c r="B438" s="7"/>
      <c r="C438" s="7"/>
      <c r="D438" s="7"/>
      <c r="E438" s="7"/>
      <c r="F438" s="7"/>
      <c r="G438" s="7"/>
      <c r="H438" s="7"/>
    </row>
    <row r="439" spans="1:8" ht="12.5">
      <c r="A439" s="6">
        <v>438</v>
      </c>
      <c r="B439" s="7"/>
      <c r="C439" s="7"/>
      <c r="D439" s="7"/>
      <c r="E439" s="7"/>
      <c r="F439" s="7"/>
      <c r="G439" s="7"/>
      <c r="H439" s="7"/>
    </row>
    <row r="440" spans="1:8" ht="12.5">
      <c r="A440" s="6">
        <v>439</v>
      </c>
      <c r="B440" s="7"/>
      <c r="C440" s="7"/>
      <c r="D440" s="7"/>
      <c r="E440" s="7"/>
      <c r="F440" s="7"/>
      <c r="G440" s="7"/>
      <c r="H440" s="7"/>
    </row>
    <row r="441" spans="1:8" ht="12.5">
      <c r="A441" s="6">
        <v>440</v>
      </c>
      <c r="B441" s="7"/>
      <c r="C441" s="7"/>
      <c r="D441" s="7"/>
      <c r="E441" s="7"/>
      <c r="F441" s="7"/>
      <c r="G441" s="7"/>
      <c r="H441" s="7"/>
    </row>
    <row r="442" spans="1:8" ht="12.5">
      <c r="A442" s="6">
        <v>441</v>
      </c>
      <c r="B442" s="7"/>
      <c r="C442" s="7"/>
      <c r="D442" s="7"/>
      <c r="E442" s="7"/>
      <c r="F442" s="7"/>
      <c r="G442" s="7"/>
      <c r="H442" s="7"/>
    </row>
    <row r="443" spans="1:8" ht="12.5">
      <c r="A443" s="6">
        <v>442</v>
      </c>
      <c r="B443" s="7"/>
      <c r="C443" s="7"/>
      <c r="D443" s="7"/>
      <c r="E443" s="7"/>
      <c r="F443" s="7"/>
      <c r="G443" s="7"/>
      <c r="H443" s="7"/>
    </row>
    <row r="444" spans="1:8" ht="12.5">
      <c r="A444" s="6">
        <v>443</v>
      </c>
      <c r="B444" s="7"/>
      <c r="C444" s="7"/>
      <c r="D444" s="7"/>
      <c r="E444" s="7"/>
      <c r="F444" s="7"/>
      <c r="G444" s="7"/>
      <c r="H444" s="7"/>
    </row>
    <row r="445" spans="1:8" ht="12.5">
      <c r="A445" s="6">
        <v>444</v>
      </c>
      <c r="B445" s="7"/>
      <c r="C445" s="7"/>
      <c r="D445" s="7"/>
      <c r="E445" s="7"/>
      <c r="F445" s="7"/>
      <c r="G445" s="7"/>
      <c r="H445" s="7"/>
    </row>
    <row r="446" spans="1:8" ht="12.5">
      <c r="A446" s="6">
        <v>445</v>
      </c>
      <c r="B446" s="7"/>
      <c r="C446" s="7"/>
      <c r="D446" s="7"/>
      <c r="E446" s="7"/>
      <c r="F446" s="7"/>
      <c r="G446" s="7"/>
      <c r="H446" s="7"/>
    </row>
    <row r="447" spans="1:8" ht="12.5">
      <c r="A447" s="6">
        <v>446</v>
      </c>
      <c r="B447" s="7"/>
      <c r="C447" s="7"/>
      <c r="D447" s="7"/>
      <c r="E447" s="7"/>
      <c r="F447" s="7"/>
      <c r="G447" s="7"/>
      <c r="H447" s="7"/>
    </row>
    <row r="448" spans="1:8" ht="12.5">
      <c r="A448" s="6">
        <v>447</v>
      </c>
      <c r="B448" s="7"/>
      <c r="C448" s="7"/>
      <c r="D448" s="7"/>
      <c r="E448" s="7"/>
      <c r="F448" s="7"/>
      <c r="G448" s="7"/>
      <c r="H448" s="7"/>
    </row>
    <row r="449" spans="1:8" ht="12.5">
      <c r="A449" s="6">
        <v>448</v>
      </c>
      <c r="B449" s="7"/>
      <c r="C449" s="7"/>
      <c r="D449" s="7"/>
      <c r="E449" s="7"/>
      <c r="F449" s="7"/>
      <c r="G449" s="7"/>
      <c r="H449" s="7"/>
    </row>
    <row r="450" spans="1:8" ht="12.5">
      <c r="A450" s="6">
        <v>449</v>
      </c>
      <c r="B450" s="7"/>
      <c r="C450" s="7"/>
      <c r="D450" s="7"/>
      <c r="E450" s="7"/>
      <c r="F450" s="7"/>
      <c r="G450" s="7"/>
      <c r="H450" s="7"/>
    </row>
    <row r="451" spans="1:8" ht="12.5">
      <c r="A451" s="6">
        <v>450</v>
      </c>
      <c r="B451" s="7"/>
      <c r="C451" s="7"/>
      <c r="D451" s="7"/>
      <c r="E451" s="7"/>
      <c r="F451" s="7"/>
      <c r="G451" s="7"/>
      <c r="H451" s="7"/>
    </row>
    <row r="452" spans="1:8" ht="12.5">
      <c r="A452" s="6">
        <v>451</v>
      </c>
      <c r="B452" s="7"/>
      <c r="C452" s="7"/>
      <c r="D452" s="7"/>
      <c r="E452" s="7"/>
      <c r="F452" s="7"/>
      <c r="G452" s="7"/>
      <c r="H452" s="7"/>
    </row>
    <row r="453" spans="1:8" ht="12.5">
      <c r="A453" s="6">
        <v>452</v>
      </c>
      <c r="B453" s="7"/>
      <c r="C453" s="7"/>
      <c r="D453" s="7"/>
      <c r="E453" s="7"/>
      <c r="F453" s="7"/>
      <c r="G453" s="7"/>
      <c r="H453" s="7"/>
    </row>
    <row r="454" spans="1:8" ht="12.5">
      <c r="A454" s="6">
        <v>453</v>
      </c>
      <c r="B454" s="7"/>
      <c r="C454" s="7"/>
      <c r="D454" s="7"/>
      <c r="E454" s="7"/>
      <c r="F454" s="7"/>
      <c r="G454" s="7"/>
      <c r="H454" s="7"/>
    </row>
    <row r="455" spans="1:8" ht="12.5">
      <c r="A455" s="6">
        <v>454</v>
      </c>
      <c r="B455" s="7"/>
      <c r="C455" s="7"/>
      <c r="D455" s="7"/>
      <c r="E455" s="7"/>
      <c r="F455" s="7"/>
      <c r="G455" s="7"/>
      <c r="H455" s="7"/>
    </row>
    <row r="456" spans="1:8" ht="12.5">
      <c r="A456" s="6">
        <v>455</v>
      </c>
      <c r="B456" s="7"/>
      <c r="C456" s="7"/>
      <c r="D456" s="7"/>
      <c r="E456" s="7"/>
      <c r="F456" s="7"/>
      <c r="G456" s="7"/>
      <c r="H456" s="7"/>
    </row>
    <row r="457" spans="1:8" ht="12.5">
      <c r="A457" s="6">
        <v>456</v>
      </c>
      <c r="B457" s="7"/>
      <c r="C457" s="7"/>
      <c r="D457" s="7"/>
      <c r="E457" s="7"/>
      <c r="F457" s="7"/>
      <c r="G457" s="7"/>
      <c r="H457" s="7"/>
    </row>
    <row r="458" spans="1:8" ht="12.5">
      <c r="A458" s="6">
        <v>457</v>
      </c>
      <c r="B458" s="7"/>
      <c r="C458" s="7"/>
      <c r="D458" s="7"/>
      <c r="E458" s="7"/>
      <c r="F458" s="7"/>
      <c r="G458" s="7"/>
      <c r="H458" s="7"/>
    </row>
    <row r="459" spans="1:8" ht="12.5">
      <c r="A459" s="6">
        <v>458</v>
      </c>
      <c r="B459" s="7"/>
      <c r="C459" s="7"/>
      <c r="D459" s="7"/>
      <c r="E459" s="7"/>
      <c r="F459" s="7"/>
      <c r="G459" s="7"/>
      <c r="H459" s="7"/>
    </row>
    <row r="460" spans="1:8" ht="12.5">
      <c r="A460" s="6">
        <v>459</v>
      </c>
      <c r="B460" s="7"/>
      <c r="C460" s="7"/>
      <c r="D460" s="7"/>
      <c r="E460" s="7"/>
      <c r="F460" s="7"/>
      <c r="G460" s="7"/>
      <c r="H460" s="7"/>
    </row>
    <row r="461" spans="1:8" ht="12.5">
      <c r="A461" s="6">
        <v>460</v>
      </c>
      <c r="B461" s="7"/>
      <c r="C461" s="7"/>
      <c r="D461" s="7"/>
      <c r="E461" s="7"/>
      <c r="F461" s="7"/>
      <c r="G461" s="7"/>
      <c r="H461" s="7"/>
    </row>
    <row r="462" spans="1:8" ht="12.5">
      <c r="A462" s="6">
        <v>461</v>
      </c>
      <c r="B462" s="7"/>
      <c r="C462" s="7"/>
      <c r="D462" s="7"/>
      <c r="E462" s="7"/>
      <c r="F462" s="7"/>
      <c r="G462" s="7"/>
      <c r="H462" s="7"/>
    </row>
    <row r="463" spans="1:8" ht="12.5">
      <c r="A463" s="6">
        <v>462</v>
      </c>
      <c r="B463" s="7"/>
      <c r="C463" s="7"/>
      <c r="D463" s="7"/>
      <c r="E463" s="7"/>
      <c r="F463" s="7"/>
      <c r="G463" s="7"/>
      <c r="H463" s="7"/>
    </row>
    <row r="464" spans="1:8" ht="12.5">
      <c r="A464" s="6">
        <v>463</v>
      </c>
      <c r="B464" s="7"/>
      <c r="C464" s="7"/>
      <c r="D464" s="7"/>
      <c r="E464" s="7"/>
      <c r="F464" s="7"/>
      <c r="G464" s="7"/>
      <c r="H464" s="7"/>
    </row>
    <row r="465" spans="1:8" ht="12.5">
      <c r="A465" s="6">
        <v>464</v>
      </c>
      <c r="B465" s="7"/>
      <c r="C465" s="7"/>
      <c r="D465" s="7"/>
      <c r="E465" s="7"/>
      <c r="F465" s="7"/>
      <c r="G465" s="7"/>
      <c r="H465" s="7"/>
    </row>
    <row r="466" spans="1:8" ht="12.5">
      <c r="A466" s="6">
        <v>465</v>
      </c>
      <c r="B466" s="7"/>
      <c r="C466" s="7"/>
      <c r="D466" s="7"/>
      <c r="E466" s="7"/>
      <c r="F466" s="7"/>
      <c r="G466" s="7"/>
      <c r="H466" s="7"/>
    </row>
    <row r="467" spans="1:8" ht="12.5">
      <c r="A467" s="6">
        <v>466</v>
      </c>
      <c r="B467" s="7"/>
      <c r="C467" s="7"/>
      <c r="D467" s="7"/>
      <c r="E467" s="7"/>
      <c r="F467" s="7"/>
      <c r="G467" s="7"/>
      <c r="H467" s="7"/>
    </row>
    <row r="468" spans="1:8" ht="12.5">
      <c r="A468" s="6">
        <v>467</v>
      </c>
      <c r="B468" s="7"/>
      <c r="C468" s="7"/>
      <c r="D468" s="7"/>
      <c r="E468" s="7"/>
      <c r="F468" s="7"/>
      <c r="G468" s="7"/>
      <c r="H468" s="7"/>
    </row>
    <row r="469" spans="1:8" ht="12.5">
      <c r="A469" s="6">
        <v>468</v>
      </c>
      <c r="B469" s="7"/>
      <c r="C469" s="7"/>
      <c r="D469" s="7"/>
      <c r="E469" s="7"/>
      <c r="F469" s="7"/>
      <c r="G469" s="7"/>
      <c r="H469" s="7"/>
    </row>
    <row r="470" spans="1:8" ht="12.5">
      <c r="A470" s="6">
        <v>469</v>
      </c>
      <c r="B470" s="7"/>
      <c r="C470" s="7"/>
      <c r="D470" s="7"/>
      <c r="E470" s="7"/>
      <c r="F470" s="7"/>
      <c r="G470" s="7"/>
      <c r="H470" s="7"/>
    </row>
    <row r="471" spans="1:8" ht="12.5">
      <c r="A471" s="6">
        <v>470</v>
      </c>
      <c r="B471" s="7"/>
      <c r="C471" s="7"/>
      <c r="D471" s="7"/>
      <c r="E471" s="7"/>
      <c r="F471" s="7"/>
      <c r="G471" s="7"/>
      <c r="H471" s="7"/>
    </row>
    <row r="472" spans="1:8" ht="12.5">
      <c r="A472" s="6">
        <v>471</v>
      </c>
      <c r="B472" s="7"/>
      <c r="C472" s="7"/>
      <c r="D472" s="7"/>
      <c r="E472" s="7"/>
      <c r="F472" s="7"/>
      <c r="G472" s="7"/>
      <c r="H472" s="7"/>
    </row>
    <row r="473" spans="1:8" ht="12.5">
      <c r="A473" s="6">
        <v>472</v>
      </c>
      <c r="B473" s="7"/>
      <c r="C473" s="7"/>
      <c r="D473" s="7"/>
      <c r="E473" s="7"/>
      <c r="F473" s="7"/>
      <c r="G473" s="7"/>
      <c r="H473" s="7"/>
    </row>
    <row r="474" spans="1:8" ht="12.5">
      <c r="A474" s="6">
        <v>473</v>
      </c>
      <c r="B474" s="7"/>
      <c r="C474" s="7"/>
      <c r="D474" s="7"/>
      <c r="E474" s="7"/>
      <c r="F474" s="7"/>
      <c r="G474" s="7"/>
      <c r="H474" s="7"/>
    </row>
    <row r="475" spans="1:8" ht="12.5">
      <c r="A475" s="6">
        <v>474</v>
      </c>
      <c r="B475" s="7"/>
      <c r="C475" s="7"/>
      <c r="D475" s="7"/>
      <c r="E475" s="7"/>
      <c r="F475" s="7"/>
      <c r="G475" s="7"/>
      <c r="H475" s="7"/>
    </row>
    <row r="476" spans="1:8" ht="12.5">
      <c r="A476" s="6">
        <v>475</v>
      </c>
      <c r="B476" s="7"/>
      <c r="C476" s="7"/>
      <c r="D476" s="7"/>
      <c r="E476" s="7"/>
      <c r="F476" s="7"/>
      <c r="G476" s="7"/>
      <c r="H476" s="7"/>
    </row>
    <row r="477" spans="1:8" ht="12.5">
      <c r="A477" s="6">
        <v>476</v>
      </c>
      <c r="B477" s="7"/>
      <c r="C477" s="7"/>
      <c r="D477" s="7"/>
      <c r="E477" s="7"/>
      <c r="F477" s="7"/>
      <c r="G477" s="7"/>
      <c r="H477" s="7"/>
    </row>
    <row r="478" spans="1:8" ht="12.5">
      <c r="A478" s="6">
        <v>477</v>
      </c>
      <c r="B478" s="7"/>
      <c r="C478" s="7"/>
      <c r="D478" s="7"/>
      <c r="E478" s="7"/>
      <c r="F478" s="7"/>
      <c r="G478" s="7"/>
      <c r="H478" s="7"/>
    </row>
    <row r="479" spans="1:8" ht="12.5">
      <c r="A479" s="6">
        <v>478</v>
      </c>
      <c r="B479" s="7"/>
      <c r="C479" s="7"/>
      <c r="D479" s="7"/>
      <c r="E479" s="7"/>
      <c r="F479" s="7"/>
      <c r="G479" s="7"/>
      <c r="H479" s="7"/>
    </row>
    <row r="480" spans="1:8" ht="12.5">
      <c r="A480" s="6">
        <v>479</v>
      </c>
      <c r="B480" s="7"/>
      <c r="C480" s="7"/>
      <c r="D480" s="7"/>
      <c r="E480" s="7"/>
      <c r="F480" s="7"/>
      <c r="G480" s="7"/>
      <c r="H480" s="7"/>
    </row>
    <row r="481" spans="1:8" ht="12.5">
      <c r="A481" s="6">
        <v>480</v>
      </c>
      <c r="B481" s="7"/>
      <c r="C481" s="7"/>
      <c r="D481" s="7"/>
      <c r="E481" s="7"/>
      <c r="F481" s="7"/>
      <c r="G481" s="7"/>
      <c r="H481" s="7"/>
    </row>
    <row r="482" spans="1:8" ht="12.5">
      <c r="A482" s="6">
        <v>481</v>
      </c>
      <c r="B482" s="7"/>
      <c r="C482" s="7"/>
      <c r="D482" s="7"/>
      <c r="E482" s="7"/>
      <c r="F482" s="7"/>
      <c r="G482" s="7"/>
      <c r="H482" s="7"/>
    </row>
    <row r="483" spans="1:8" ht="12.5">
      <c r="A483" s="6">
        <v>482</v>
      </c>
      <c r="B483" s="7"/>
      <c r="C483" s="7"/>
      <c r="D483" s="7"/>
      <c r="E483" s="7"/>
      <c r="F483" s="7"/>
      <c r="G483" s="7"/>
      <c r="H483" s="7"/>
    </row>
    <row r="484" spans="1:8" ht="12.5">
      <c r="A484" s="6">
        <v>483</v>
      </c>
      <c r="B484" s="7"/>
      <c r="C484" s="7"/>
      <c r="D484" s="7"/>
      <c r="E484" s="7"/>
      <c r="F484" s="7"/>
      <c r="G484" s="7"/>
      <c r="H484" s="7"/>
    </row>
    <row r="485" spans="1:8" ht="12.5">
      <c r="A485" s="6">
        <v>484</v>
      </c>
      <c r="B485" s="7"/>
      <c r="C485" s="7"/>
      <c r="D485" s="7"/>
      <c r="E485" s="7"/>
      <c r="F485" s="7"/>
      <c r="G485" s="7"/>
      <c r="H485" s="7"/>
    </row>
    <row r="486" spans="1:8" ht="12.5">
      <c r="A486" s="6">
        <v>485</v>
      </c>
      <c r="B486" s="7"/>
      <c r="C486" s="7"/>
      <c r="D486" s="7"/>
      <c r="E486" s="7"/>
      <c r="F486" s="7"/>
      <c r="G486" s="7"/>
      <c r="H486" s="7"/>
    </row>
    <row r="487" spans="1:8" ht="12.5">
      <c r="A487" s="6">
        <v>486</v>
      </c>
      <c r="B487" s="7"/>
      <c r="C487" s="7"/>
      <c r="D487" s="7"/>
      <c r="E487" s="7"/>
      <c r="F487" s="7"/>
      <c r="G487" s="7"/>
      <c r="H487" s="7"/>
    </row>
    <row r="488" spans="1:8" ht="12.5">
      <c r="A488" s="6">
        <v>487</v>
      </c>
      <c r="B488" s="7"/>
      <c r="C488" s="7"/>
      <c r="D488" s="7"/>
      <c r="E488" s="7"/>
      <c r="F488" s="7"/>
      <c r="G488" s="7"/>
      <c r="H488" s="7"/>
    </row>
    <row r="489" spans="1:8" ht="12.5">
      <c r="A489" s="6">
        <v>488</v>
      </c>
      <c r="B489" s="7"/>
      <c r="C489" s="7"/>
      <c r="D489" s="7"/>
      <c r="E489" s="7"/>
      <c r="F489" s="7"/>
      <c r="G489" s="7"/>
      <c r="H489" s="7"/>
    </row>
    <row r="490" spans="1:8" ht="12.5">
      <c r="A490" s="6">
        <v>489</v>
      </c>
      <c r="B490" s="7"/>
      <c r="C490" s="7"/>
      <c r="D490" s="7"/>
      <c r="E490" s="7"/>
      <c r="F490" s="7"/>
      <c r="G490" s="7"/>
      <c r="H490" s="7"/>
    </row>
    <row r="491" spans="1:8" ht="12.5">
      <c r="A491" s="6">
        <v>490</v>
      </c>
      <c r="B491" s="7"/>
      <c r="C491" s="7"/>
      <c r="D491" s="7"/>
      <c r="E491" s="7"/>
      <c r="F491" s="7"/>
      <c r="G491" s="7"/>
      <c r="H491" s="7"/>
    </row>
    <row r="492" spans="1:8" ht="12.5">
      <c r="A492" s="6">
        <v>491</v>
      </c>
      <c r="B492" s="7"/>
      <c r="C492" s="7"/>
      <c r="D492" s="7"/>
      <c r="E492" s="7"/>
      <c r="F492" s="7"/>
      <c r="G492" s="7"/>
      <c r="H492" s="7"/>
    </row>
    <row r="493" spans="1:8" ht="12.5">
      <c r="A493" s="6">
        <v>492</v>
      </c>
      <c r="B493" s="7"/>
      <c r="C493" s="7"/>
      <c r="D493" s="7"/>
      <c r="E493" s="7"/>
      <c r="F493" s="7"/>
      <c r="G493" s="7"/>
      <c r="H493" s="7"/>
    </row>
    <row r="494" spans="1:8" ht="12.5">
      <c r="A494" s="6">
        <v>493</v>
      </c>
      <c r="B494" s="7"/>
      <c r="C494" s="7"/>
      <c r="D494" s="7"/>
      <c r="E494" s="7"/>
      <c r="F494" s="7"/>
      <c r="G494" s="7"/>
      <c r="H494" s="7"/>
    </row>
    <row r="495" spans="1:8" ht="12.5">
      <c r="A495" s="6">
        <v>494</v>
      </c>
      <c r="B495" s="7"/>
      <c r="C495" s="7"/>
      <c r="D495" s="7"/>
      <c r="E495" s="7"/>
      <c r="F495" s="7"/>
      <c r="G495" s="7"/>
      <c r="H495" s="7"/>
    </row>
    <row r="496" spans="1:8" ht="12.5">
      <c r="A496" s="6">
        <v>495</v>
      </c>
      <c r="B496" s="7"/>
      <c r="C496" s="7"/>
      <c r="D496" s="7"/>
      <c r="E496" s="7"/>
      <c r="F496" s="7"/>
      <c r="G496" s="7"/>
      <c r="H496" s="7"/>
    </row>
    <row r="497" spans="1:8" ht="12.5">
      <c r="A497" s="6">
        <v>496</v>
      </c>
      <c r="B497" s="7"/>
      <c r="C497" s="7"/>
      <c r="D497" s="7"/>
      <c r="E497" s="7"/>
      <c r="F497" s="7"/>
      <c r="G497" s="7"/>
      <c r="H497" s="7"/>
    </row>
    <row r="498" spans="1:8" ht="12.5">
      <c r="A498" s="6">
        <v>497</v>
      </c>
      <c r="B498" s="7"/>
      <c r="C498" s="7"/>
      <c r="D498" s="7"/>
      <c r="E498" s="7"/>
      <c r="F498" s="7"/>
      <c r="G498" s="7"/>
      <c r="H498" s="7"/>
    </row>
    <row r="499" spans="1:8" ht="12.5">
      <c r="A499" s="6">
        <v>498</v>
      </c>
      <c r="B499" s="7"/>
      <c r="C499" s="7"/>
      <c r="D499" s="7"/>
      <c r="E499" s="7"/>
      <c r="F499" s="7"/>
      <c r="G499" s="7"/>
      <c r="H499" s="7"/>
    </row>
    <row r="500" spans="1:8" ht="12.5">
      <c r="A500" s="6">
        <v>499</v>
      </c>
      <c r="B500" s="7"/>
      <c r="C500" s="7"/>
      <c r="D500" s="7"/>
      <c r="E500" s="7"/>
      <c r="F500" s="7"/>
      <c r="G500" s="7"/>
      <c r="H500" s="7"/>
    </row>
    <row r="501" spans="1:8" ht="12.5">
      <c r="A501" s="6">
        <v>500</v>
      </c>
      <c r="B501" s="7"/>
      <c r="C501" s="7"/>
      <c r="D501" s="7"/>
      <c r="E501" s="7"/>
      <c r="F501" s="7"/>
      <c r="G501" s="7"/>
      <c r="H501" s="7"/>
    </row>
    <row r="502" spans="1:8" ht="12.5">
      <c r="A502" s="6">
        <v>501</v>
      </c>
      <c r="B502" s="7"/>
      <c r="C502" s="7"/>
      <c r="D502" s="7"/>
      <c r="E502" s="7"/>
      <c r="F502" s="7"/>
      <c r="G502" s="7"/>
      <c r="H502" s="7"/>
    </row>
    <row r="503" spans="1:8" ht="12.5">
      <c r="A503" s="6">
        <v>502</v>
      </c>
      <c r="B503" s="7"/>
      <c r="C503" s="7"/>
      <c r="D503" s="7"/>
      <c r="E503" s="7"/>
      <c r="F503" s="7"/>
      <c r="G503" s="7"/>
      <c r="H503" s="7"/>
    </row>
    <row r="504" spans="1:8" ht="12.5">
      <c r="A504" s="6">
        <v>503</v>
      </c>
      <c r="B504" s="7"/>
      <c r="C504" s="7"/>
      <c r="D504" s="7"/>
      <c r="E504" s="7"/>
      <c r="F504" s="7"/>
      <c r="G504" s="7"/>
      <c r="H504" s="7"/>
    </row>
    <row r="505" spans="1:8" ht="12.5">
      <c r="A505" s="6">
        <v>504</v>
      </c>
      <c r="B505" s="7"/>
      <c r="C505" s="7"/>
      <c r="D505" s="7"/>
      <c r="E505" s="7"/>
      <c r="F505" s="7"/>
      <c r="G505" s="7"/>
      <c r="H505" s="7"/>
    </row>
    <row r="506" spans="1:8" ht="12.5">
      <c r="A506" s="6">
        <v>505</v>
      </c>
      <c r="B506" s="7"/>
      <c r="C506" s="7"/>
      <c r="D506" s="7"/>
      <c r="E506" s="7"/>
      <c r="F506" s="7"/>
      <c r="G506" s="7"/>
      <c r="H506" s="7"/>
    </row>
    <row r="507" spans="1:8" ht="12.5">
      <c r="A507" s="6">
        <v>506</v>
      </c>
      <c r="B507" s="7"/>
      <c r="C507" s="7"/>
      <c r="D507" s="7"/>
      <c r="E507" s="7"/>
      <c r="F507" s="7"/>
      <c r="G507" s="7"/>
      <c r="H507" s="7"/>
    </row>
    <row r="508" spans="1:8" ht="12.5">
      <c r="A508" s="6">
        <v>507</v>
      </c>
      <c r="B508" s="7"/>
      <c r="C508" s="7"/>
      <c r="D508" s="7"/>
      <c r="E508" s="7"/>
      <c r="F508" s="7"/>
      <c r="G508" s="7"/>
      <c r="H508" s="7"/>
    </row>
    <row r="509" spans="1:8" ht="12.5">
      <c r="A509" s="6">
        <v>508</v>
      </c>
      <c r="B509" s="7"/>
      <c r="C509" s="7"/>
      <c r="D509" s="7"/>
      <c r="E509" s="7"/>
      <c r="F509" s="7"/>
      <c r="G509" s="7"/>
      <c r="H509" s="7"/>
    </row>
    <row r="510" spans="1:8" ht="12.5">
      <c r="A510" s="6">
        <v>509</v>
      </c>
      <c r="B510" s="7"/>
      <c r="C510" s="7"/>
      <c r="D510" s="7"/>
      <c r="E510" s="7"/>
      <c r="F510" s="7"/>
      <c r="G510" s="7"/>
      <c r="H510" s="7"/>
    </row>
    <row r="511" spans="1:8" ht="12.5">
      <c r="A511" s="6">
        <v>510</v>
      </c>
      <c r="B511" s="7"/>
      <c r="C511" s="7"/>
      <c r="D511" s="7"/>
      <c r="E511" s="7"/>
      <c r="F511" s="7"/>
      <c r="G511" s="7"/>
      <c r="H511" s="7"/>
    </row>
    <row r="512" spans="1:8" ht="12.5">
      <c r="A512" s="6">
        <v>511</v>
      </c>
      <c r="B512" s="7"/>
      <c r="C512" s="7"/>
      <c r="D512" s="7"/>
      <c r="E512" s="7"/>
      <c r="F512" s="7"/>
      <c r="G512" s="7"/>
      <c r="H512" s="7"/>
    </row>
    <row r="513" spans="1:8" ht="12.5">
      <c r="A513" s="6">
        <v>512</v>
      </c>
      <c r="B513" s="7"/>
      <c r="C513" s="7"/>
      <c r="D513" s="7"/>
      <c r="E513" s="7"/>
      <c r="F513" s="7"/>
      <c r="G513" s="7"/>
      <c r="H513" s="7"/>
    </row>
    <row r="514" spans="1:8" ht="12.5">
      <c r="A514" s="6">
        <v>513</v>
      </c>
      <c r="B514" s="7"/>
      <c r="C514" s="7"/>
      <c r="D514" s="7"/>
      <c r="E514" s="7"/>
      <c r="F514" s="7"/>
      <c r="G514" s="7"/>
      <c r="H514" s="7"/>
    </row>
    <row r="515" spans="1:8" ht="12.5">
      <c r="A515" s="6">
        <v>514</v>
      </c>
      <c r="B515" s="7"/>
      <c r="C515" s="7"/>
      <c r="D515" s="7"/>
      <c r="E515" s="7"/>
      <c r="F515" s="7"/>
      <c r="G515" s="7"/>
      <c r="H515" s="7"/>
    </row>
    <row r="516" spans="1:8" ht="12.5">
      <c r="A516" s="6">
        <v>515</v>
      </c>
      <c r="B516" s="7"/>
      <c r="C516" s="7"/>
      <c r="D516" s="7"/>
      <c r="E516" s="7"/>
      <c r="F516" s="7"/>
      <c r="G516" s="7"/>
      <c r="H516" s="7"/>
    </row>
    <row r="517" spans="1:8" ht="12.5">
      <c r="A517" s="6">
        <v>516</v>
      </c>
      <c r="B517" s="7"/>
      <c r="C517" s="7"/>
      <c r="D517" s="7"/>
      <c r="E517" s="7"/>
      <c r="F517" s="7"/>
      <c r="G517" s="7"/>
      <c r="H517" s="7"/>
    </row>
    <row r="518" spans="1:8" ht="12.5">
      <c r="A518" s="6">
        <v>517</v>
      </c>
      <c r="B518" s="7"/>
      <c r="C518" s="7"/>
      <c r="D518" s="7"/>
      <c r="E518" s="7"/>
      <c r="F518" s="7"/>
      <c r="G518" s="7"/>
      <c r="H518" s="7"/>
    </row>
    <row r="519" spans="1:8" ht="12.5">
      <c r="A519" s="6">
        <v>518</v>
      </c>
      <c r="B519" s="7"/>
      <c r="C519" s="7"/>
      <c r="D519" s="7"/>
      <c r="E519" s="7"/>
      <c r="F519" s="7"/>
      <c r="G519" s="7"/>
      <c r="H519" s="7"/>
    </row>
    <row r="520" spans="1:8" ht="12.5">
      <c r="A520" s="6">
        <v>519</v>
      </c>
      <c r="B520" s="7"/>
      <c r="C520" s="7"/>
      <c r="D520" s="7"/>
      <c r="E520" s="7"/>
      <c r="F520" s="7"/>
      <c r="G520" s="7"/>
      <c r="H520" s="7"/>
    </row>
    <row r="521" spans="1:8" ht="12.5">
      <c r="A521" s="6">
        <v>520</v>
      </c>
      <c r="B521" s="7"/>
      <c r="C521" s="7"/>
      <c r="D521" s="7"/>
      <c r="E521" s="7"/>
      <c r="F521" s="7"/>
      <c r="G521" s="7"/>
      <c r="H521" s="7"/>
    </row>
    <row r="522" spans="1:8" ht="12.5">
      <c r="A522" s="6">
        <v>521</v>
      </c>
      <c r="B522" s="7"/>
      <c r="C522" s="7"/>
      <c r="D522" s="7"/>
      <c r="E522" s="7"/>
      <c r="F522" s="7"/>
      <c r="G522" s="7"/>
      <c r="H522" s="7"/>
    </row>
    <row r="523" spans="1:8" ht="12.5">
      <c r="A523" s="6">
        <v>522</v>
      </c>
      <c r="B523" s="7"/>
      <c r="C523" s="7"/>
      <c r="D523" s="7"/>
      <c r="E523" s="7"/>
      <c r="F523" s="7"/>
      <c r="G523" s="7"/>
      <c r="H523" s="7"/>
    </row>
    <row r="524" spans="1:8" ht="12.5">
      <c r="A524" s="6">
        <v>523</v>
      </c>
      <c r="B524" s="7"/>
      <c r="C524" s="7"/>
      <c r="D524" s="7"/>
      <c r="E524" s="7"/>
      <c r="F524" s="7"/>
      <c r="G524" s="7"/>
      <c r="H524" s="7"/>
    </row>
    <row r="525" spans="1:8" ht="12.5">
      <c r="A525" s="6">
        <v>524</v>
      </c>
      <c r="B525" s="7"/>
      <c r="C525" s="7"/>
      <c r="D525" s="7"/>
      <c r="E525" s="7"/>
      <c r="F525" s="7"/>
      <c r="G525" s="7"/>
      <c r="H525" s="7"/>
    </row>
    <row r="526" spans="1:8" ht="12.5">
      <c r="A526" s="6">
        <v>525</v>
      </c>
      <c r="B526" s="7"/>
      <c r="C526" s="7"/>
      <c r="D526" s="7"/>
      <c r="E526" s="7"/>
      <c r="F526" s="7"/>
      <c r="G526" s="7"/>
      <c r="H526" s="7"/>
    </row>
    <row r="527" spans="1:8" ht="12.5">
      <c r="A527" s="6">
        <v>526</v>
      </c>
      <c r="B527" s="7"/>
      <c r="C527" s="7"/>
      <c r="D527" s="7"/>
      <c r="E527" s="7"/>
      <c r="F527" s="7"/>
      <c r="G527" s="7"/>
      <c r="H527" s="7"/>
    </row>
    <row r="528" spans="1:8" ht="12.5">
      <c r="A528" s="6">
        <v>527</v>
      </c>
      <c r="B528" s="7"/>
      <c r="C528" s="7"/>
      <c r="D528" s="7"/>
      <c r="E528" s="7"/>
      <c r="F528" s="7"/>
      <c r="G528" s="7"/>
      <c r="H528" s="7"/>
    </row>
    <row r="529" spans="1:8" ht="12.5">
      <c r="A529" s="6">
        <v>528</v>
      </c>
      <c r="B529" s="7"/>
      <c r="C529" s="7"/>
      <c r="D529" s="7"/>
      <c r="E529" s="7"/>
      <c r="F529" s="7"/>
      <c r="G529" s="7"/>
      <c r="H529" s="7"/>
    </row>
    <row r="530" spans="1:8" ht="12.5">
      <c r="A530" s="6">
        <v>529</v>
      </c>
      <c r="B530" s="7"/>
      <c r="C530" s="7"/>
      <c r="D530" s="7"/>
      <c r="E530" s="7"/>
      <c r="F530" s="7"/>
      <c r="G530" s="7"/>
      <c r="H530" s="7"/>
    </row>
    <row r="531" spans="1:8" ht="12.5">
      <c r="A531" s="6">
        <v>530</v>
      </c>
      <c r="B531" s="7"/>
      <c r="C531" s="7"/>
      <c r="D531" s="7"/>
      <c r="E531" s="7"/>
      <c r="F531" s="7"/>
      <c r="G531" s="7"/>
      <c r="H531" s="7"/>
    </row>
    <row r="532" spans="1:8" ht="12.5">
      <c r="A532" s="6">
        <v>531</v>
      </c>
      <c r="B532" s="7"/>
      <c r="C532" s="7"/>
      <c r="D532" s="7"/>
      <c r="E532" s="7"/>
      <c r="F532" s="7"/>
      <c r="G532" s="7"/>
      <c r="H532" s="7"/>
    </row>
    <row r="533" spans="1:8" ht="12.5">
      <c r="A533" s="6">
        <v>532</v>
      </c>
      <c r="B533" s="7"/>
      <c r="C533" s="7"/>
      <c r="D533" s="7"/>
      <c r="E533" s="7"/>
      <c r="F533" s="7"/>
      <c r="G533" s="7"/>
      <c r="H533" s="7"/>
    </row>
    <row r="534" spans="1:8" ht="12.5">
      <c r="A534" s="6">
        <v>533</v>
      </c>
      <c r="B534" s="7"/>
      <c r="C534" s="7"/>
      <c r="D534" s="7"/>
      <c r="E534" s="7"/>
      <c r="F534" s="7"/>
      <c r="G534" s="7"/>
      <c r="H534" s="7"/>
    </row>
    <row r="535" spans="1:8" ht="12.5">
      <c r="A535" s="6">
        <v>534</v>
      </c>
      <c r="B535" s="7"/>
      <c r="C535" s="7"/>
      <c r="D535" s="7"/>
      <c r="E535" s="7"/>
      <c r="F535" s="7"/>
      <c r="G535" s="7"/>
      <c r="H535" s="7"/>
    </row>
    <row r="536" spans="1:8" ht="12.5">
      <c r="A536" s="6">
        <v>535</v>
      </c>
      <c r="B536" s="7"/>
      <c r="C536" s="7"/>
      <c r="D536" s="7"/>
      <c r="E536" s="7"/>
      <c r="F536" s="7"/>
      <c r="G536" s="7"/>
      <c r="H536" s="7"/>
    </row>
    <row r="537" spans="1:8" ht="12.5">
      <c r="A537" s="6">
        <v>536</v>
      </c>
      <c r="B537" s="7"/>
      <c r="C537" s="7"/>
      <c r="D537" s="7"/>
      <c r="E537" s="7"/>
      <c r="F537" s="7"/>
      <c r="G537" s="7"/>
      <c r="H537" s="7"/>
    </row>
    <row r="538" spans="1:8" ht="12.5">
      <c r="C538" s="8"/>
    </row>
    <row r="539" spans="1:8" ht="12.5">
      <c r="C539" s="8"/>
    </row>
    <row r="540" spans="1:8" ht="12.5">
      <c r="C540" s="8"/>
    </row>
    <row r="541" spans="1:8" ht="12.5">
      <c r="C541" s="8"/>
    </row>
    <row r="542" spans="1:8" ht="12.5">
      <c r="C542" s="8"/>
    </row>
    <row r="543" spans="1:8" ht="12.5">
      <c r="C543" s="8"/>
    </row>
    <row r="544" spans="1:8" ht="12.5">
      <c r="C544" s="8"/>
    </row>
    <row r="545" spans="3:3" ht="12.5">
      <c r="C545" s="8"/>
    </row>
    <row r="546" spans="3:3" ht="12.5">
      <c r="C546" s="8"/>
    </row>
    <row r="547" spans="3:3" ht="12.5">
      <c r="C547" s="8"/>
    </row>
    <row r="548" spans="3:3" ht="12.5">
      <c r="C548" s="8"/>
    </row>
    <row r="549" spans="3:3" ht="12.5">
      <c r="C549" s="8"/>
    </row>
    <row r="550" spans="3:3" ht="12.5">
      <c r="C550" s="8"/>
    </row>
    <row r="551" spans="3:3" ht="12.5">
      <c r="C551" s="8"/>
    </row>
    <row r="552" spans="3:3" ht="12.5">
      <c r="C552" s="8"/>
    </row>
    <row r="553" spans="3:3" ht="12.5">
      <c r="C553" s="8"/>
    </row>
    <row r="554" spans="3:3" ht="12.5">
      <c r="C554" s="8"/>
    </row>
    <row r="555" spans="3:3" ht="12.5">
      <c r="C555" s="8"/>
    </row>
    <row r="556" spans="3:3" ht="12.5">
      <c r="C556" s="8"/>
    </row>
    <row r="557" spans="3:3" ht="12.5">
      <c r="C557" s="8"/>
    </row>
    <row r="558" spans="3:3" ht="12.5">
      <c r="C558" s="8"/>
    </row>
    <row r="559" spans="3:3" ht="12.5">
      <c r="C559" s="8"/>
    </row>
    <row r="560" spans="3:3" ht="12.5">
      <c r="C560" s="8"/>
    </row>
    <row r="561" spans="3:3" ht="12.5">
      <c r="C561" s="8"/>
    </row>
    <row r="562" spans="3:3" ht="12.5">
      <c r="C562" s="8"/>
    </row>
    <row r="563" spans="3:3" ht="12.5">
      <c r="C563" s="8"/>
    </row>
    <row r="564" spans="3:3" ht="12.5">
      <c r="C564" s="8"/>
    </row>
    <row r="565" spans="3:3" ht="12.5">
      <c r="C565" s="8"/>
    </row>
    <row r="566" spans="3:3" ht="12.5">
      <c r="C566" s="8"/>
    </row>
    <row r="567" spans="3:3" ht="12.5">
      <c r="C567" s="8"/>
    </row>
    <row r="568" spans="3:3" ht="12.5">
      <c r="C568" s="8"/>
    </row>
    <row r="569" spans="3:3" ht="12.5">
      <c r="C569" s="8"/>
    </row>
    <row r="570" spans="3:3" ht="12.5">
      <c r="C570" s="8"/>
    </row>
    <row r="571" spans="3:3" ht="12.5">
      <c r="C571" s="8"/>
    </row>
    <row r="572" spans="3:3" ht="12.5">
      <c r="C572" s="8"/>
    </row>
    <row r="573" spans="3:3" ht="12.5">
      <c r="C573" s="8"/>
    </row>
    <row r="574" spans="3:3" ht="12.5">
      <c r="C574" s="8"/>
    </row>
    <row r="575" spans="3:3" ht="12.5">
      <c r="C575" s="8"/>
    </row>
    <row r="576" spans="3:3" ht="12.5">
      <c r="C576" s="8"/>
    </row>
    <row r="577" spans="3:3" ht="12.5">
      <c r="C577" s="8"/>
    </row>
    <row r="578" spans="3:3" ht="12.5">
      <c r="C578" s="8"/>
    </row>
    <row r="579" spans="3:3" ht="12.5">
      <c r="C579" s="8"/>
    </row>
    <row r="580" spans="3:3" ht="12.5">
      <c r="C580" s="8"/>
    </row>
    <row r="581" spans="3:3" ht="12.5">
      <c r="C581" s="8"/>
    </row>
    <row r="582" spans="3:3" ht="12.5">
      <c r="C582" s="8"/>
    </row>
    <row r="583" spans="3:3" ht="12.5">
      <c r="C583" s="8"/>
    </row>
    <row r="584" spans="3:3" ht="12.5">
      <c r="C584" s="8"/>
    </row>
    <row r="585" spans="3:3" ht="12.5">
      <c r="C585" s="8"/>
    </row>
    <row r="586" spans="3:3" ht="12.5">
      <c r="C586" s="8"/>
    </row>
    <row r="587" spans="3:3" ht="12.5">
      <c r="C587" s="8"/>
    </row>
    <row r="588" spans="3:3" ht="12.5">
      <c r="C588" s="8"/>
    </row>
    <row r="589" spans="3:3" ht="12.5">
      <c r="C589" s="8"/>
    </row>
    <row r="590" spans="3:3" ht="12.5">
      <c r="C590" s="8"/>
    </row>
    <row r="591" spans="3:3" ht="12.5">
      <c r="C591" s="8"/>
    </row>
    <row r="592" spans="3:3" ht="12.5">
      <c r="C592" s="8"/>
    </row>
    <row r="593" spans="3:3" ht="12.5">
      <c r="C593" s="8"/>
    </row>
    <row r="594" spans="3:3" ht="12.5">
      <c r="C594" s="8"/>
    </row>
    <row r="595" spans="3:3" ht="12.5">
      <c r="C595" s="8"/>
    </row>
    <row r="596" spans="3:3" ht="12.5">
      <c r="C596" s="8"/>
    </row>
    <row r="597" spans="3:3" ht="12.5">
      <c r="C597" s="8"/>
    </row>
    <row r="598" spans="3:3" ht="12.5">
      <c r="C598" s="8"/>
    </row>
    <row r="599" spans="3:3" ht="12.5">
      <c r="C599" s="8"/>
    </row>
    <row r="600" spans="3:3" ht="12.5">
      <c r="C600" s="8"/>
    </row>
    <row r="601" spans="3:3" ht="12.5">
      <c r="C601" s="8"/>
    </row>
    <row r="602" spans="3:3" ht="12.5">
      <c r="C602" s="8"/>
    </row>
    <row r="603" spans="3:3" ht="12.5">
      <c r="C603" s="8"/>
    </row>
    <row r="604" spans="3:3" ht="12.5">
      <c r="C604" s="8"/>
    </row>
    <row r="605" spans="3:3" ht="12.5">
      <c r="C605" s="8"/>
    </row>
    <row r="606" spans="3:3" ht="12.5">
      <c r="C606" s="8"/>
    </row>
    <row r="607" spans="3:3" ht="12.5">
      <c r="C607" s="8"/>
    </row>
    <row r="608" spans="3:3" ht="12.5">
      <c r="C608" s="8"/>
    </row>
    <row r="609" spans="3:3" ht="12.5">
      <c r="C609" s="8"/>
    </row>
    <row r="610" spans="3:3" ht="12.5">
      <c r="C610" s="8"/>
    </row>
    <row r="611" spans="3:3" ht="12.5">
      <c r="C611" s="8"/>
    </row>
    <row r="612" spans="3:3" ht="12.5">
      <c r="C612" s="8"/>
    </row>
    <row r="613" spans="3:3" ht="12.5">
      <c r="C613" s="8"/>
    </row>
    <row r="614" spans="3:3" ht="12.5">
      <c r="C614" s="8"/>
    </row>
    <row r="615" spans="3:3" ht="12.5">
      <c r="C615" s="8"/>
    </row>
    <row r="616" spans="3:3" ht="12.5">
      <c r="C616" s="8"/>
    </row>
    <row r="617" spans="3:3" ht="12.5">
      <c r="C617" s="8"/>
    </row>
    <row r="618" spans="3:3" ht="12.5">
      <c r="C618" s="8"/>
    </row>
    <row r="619" spans="3:3" ht="12.5">
      <c r="C619" s="8"/>
    </row>
    <row r="620" spans="3:3" ht="12.5">
      <c r="C620" s="8"/>
    </row>
    <row r="621" spans="3:3" ht="12.5">
      <c r="C621" s="8"/>
    </row>
    <row r="622" spans="3:3" ht="12.5">
      <c r="C622" s="8"/>
    </row>
    <row r="623" spans="3:3" ht="12.5">
      <c r="C623" s="8"/>
    </row>
    <row r="624" spans="3:3" ht="12.5">
      <c r="C624" s="8"/>
    </row>
    <row r="625" spans="3:3" ht="12.5">
      <c r="C625" s="8"/>
    </row>
    <row r="626" spans="3:3" ht="12.5">
      <c r="C626" s="8"/>
    </row>
    <row r="627" spans="3:3" ht="12.5">
      <c r="C627" s="8"/>
    </row>
    <row r="628" spans="3:3" ht="12.5">
      <c r="C628" s="8"/>
    </row>
    <row r="629" spans="3:3" ht="12.5">
      <c r="C629" s="8"/>
    </row>
    <row r="630" spans="3:3" ht="12.5">
      <c r="C630" s="8"/>
    </row>
    <row r="631" spans="3:3" ht="12.5">
      <c r="C631" s="8"/>
    </row>
    <row r="632" spans="3:3" ht="12.5">
      <c r="C632" s="8"/>
    </row>
    <row r="633" spans="3:3" ht="12.5">
      <c r="C633" s="8"/>
    </row>
    <row r="634" spans="3:3" ht="12.5">
      <c r="C634" s="8"/>
    </row>
    <row r="635" spans="3:3" ht="12.5">
      <c r="C635" s="8"/>
    </row>
    <row r="636" spans="3:3" ht="12.5">
      <c r="C636" s="8"/>
    </row>
    <row r="637" spans="3:3" ht="12.5">
      <c r="C637" s="8"/>
    </row>
    <row r="638" spans="3:3" ht="12.5">
      <c r="C638" s="8"/>
    </row>
    <row r="639" spans="3:3" ht="12.5">
      <c r="C639" s="8"/>
    </row>
    <row r="640" spans="3:3" ht="12.5">
      <c r="C640" s="8"/>
    </row>
    <row r="641" spans="3:3" ht="12.5">
      <c r="C641" s="8"/>
    </row>
    <row r="642" spans="3:3" ht="12.5">
      <c r="C642" s="8"/>
    </row>
    <row r="643" spans="3:3" ht="12.5">
      <c r="C643" s="8"/>
    </row>
    <row r="644" spans="3:3" ht="12.5">
      <c r="C644" s="8"/>
    </row>
    <row r="645" spans="3:3" ht="12.5">
      <c r="C645" s="8"/>
    </row>
    <row r="646" spans="3:3" ht="12.5">
      <c r="C646" s="8"/>
    </row>
    <row r="647" spans="3:3" ht="12.5">
      <c r="C647" s="8"/>
    </row>
    <row r="648" spans="3:3" ht="12.5">
      <c r="C648" s="8"/>
    </row>
    <row r="649" spans="3:3" ht="12.5">
      <c r="C649" s="8"/>
    </row>
    <row r="650" spans="3:3" ht="12.5">
      <c r="C650" s="8"/>
    </row>
    <row r="651" spans="3:3" ht="12.5">
      <c r="C651" s="8"/>
    </row>
    <row r="652" spans="3:3" ht="12.5">
      <c r="C652" s="8"/>
    </row>
    <row r="653" spans="3:3" ht="12.5">
      <c r="C653" s="8"/>
    </row>
    <row r="654" spans="3:3" ht="12.5">
      <c r="C654" s="8"/>
    </row>
    <row r="655" spans="3:3" ht="12.5">
      <c r="C655" s="8"/>
    </row>
    <row r="656" spans="3:3" ht="12.5">
      <c r="C656" s="8"/>
    </row>
    <row r="657" spans="3:3" ht="12.5">
      <c r="C657" s="8"/>
    </row>
    <row r="658" spans="3:3" ht="12.5">
      <c r="C658" s="8"/>
    </row>
    <row r="659" spans="3:3" ht="12.5">
      <c r="C659" s="8"/>
    </row>
    <row r="660" spans="3:3" ht="12.5">
      <c r="C660" s="8"/>
    </row>
    <row r="661" spans="3:3" ht="12.5">
      <c r="C661" s="8"/>
    </row>
    <row r="662" spans="3:3" ht="12.5">
      <c r="C662" s="8"/>
    </row>
    <row r="663" spans="3:3" ht="12.5">
      <c r="C663" s="8"/>
    </row>
    <row r="664" spans="3:3" ht="12.5">
      <c r="C664" s="8"/>
    </row>
    <row r="665" spans="3:3" ht="12.5">
      <c r="C665" s="8"/>
    </row>
    <row r="666" spans="3:3" ht="12.5">
      <c r="C666" s="8"/>
    </row>
    <row r="667" spans="3:3" ht="12.5">
      <c r="C667" s="8"/>
    </row>
    <row r="668" spans="3:3" ht="12.5">
      <c r="C668" s="8"/>
    </row>
    <row r="669" spans="3:3" ht="12.5">
      <c r="C669" s="8"/>
    </row>
    <row r="670" spans="3:3" ht="12.5">
      <c r="C670" s="8"/>
    </row>
    <row r="671" spans="3:3" ht="12.5">
      <c r="C671" s="8"/>
    </row>
    <row r="672" spans="3:3" ht="12.5">
      <c r="C672" s="8"/>
    </row>
    <row r="673" spans="3:3" ht="12.5">
      <c r="C673" s="8"/>
    </row>
    <row r="674" spans="3:3" ht="12.5">
      <c r="C674" s="8"/>
    </row>
    <row r="675" spans="3:3" ht="12.5">
      <c r="C675" s="8"/>
    </row>
    <row r="676" spans="3:3" ht="12.5">
      <c r="C676" s="8"/>
    </row>
    <row r="677" spans="3:3" ht="12.5">
      <c r="C677" s="8"/>
    </row>
    <row r="678" spans="3:3" ht="12.5">
      <c r="C678" s="8"/>
    </row>
    <row r="679" spans="3:3" ht="12.5">
      <c r="C679" s="8"/>
    </row>
    <row r="680" spans="3:3" ht="12.5">
      <c r="C680" s="8"/>
    </row>
    <row r="681" spans="3:3" ht="12.5">
      <c r="C681" s="8"/>
    </row>
    <row r="682" spans="3:3" ht="12.5">
      <c r="C682" s="8"/>
    </row>
    <row r="683" spans="3:3" ht="12.5">
      <c r="C683" s="8"/>
    </row>
    <row r="684" spans="3:3" ht="12.5">
      <c r="C684" s="8"/>
    </row>
    <row r="685" spans="3:3" ht="12.5">
      <c r="C685" s="8"/>
    </row>
    <row r="686" spans="3:3" ht="12.5">
      <c r="C686" s="8"/>
    </row>
    <row r="687" spans="3:3" ht="12.5">
      <c r="C687" s="8"/>
    </row>
    <row r="688" spans="3:3" ht="12.5">
      <c r="C688" s="8"/>
    </row>
    <row r="689" spans="3:3" ht="12.5">
      <c r="C689" s="8"/>
    </row>
    <row r="690" spans="3:3" ht="12.5">
      <c r="C690" s="8"/>
    </row>
    <row r="691" spans="3:3" ht="12.5">
      <c r="C691" s="8"/>
    </row>
    <row r="692" spans="3:3" ht="12.5">
      <c r="C692" s="8"/>
    </row>
    <row r="693" spans="3:3" ht="12.5">
      <c r="C693" s="8"/>
    </row>
    <row r="694" spans="3:3" ht="12.5">
      <c r="C694" s="8"/>
    </row>
    <row r="695" spans="3:3" ht="12.5">
      <c r="C695" s="8"/>
    </row>
    <row r="696" spans="3:3" ht="12.5">
      <c r="C696" s="8"/>
    </row>
    <row r="697" spans="3:3" ht="12.5">
      <c r="C697" s="8"/>
    </row>
    <row r="698" spans="3:3" ht="12.5">
      <c r="C698" s="8"/>
    </row>
    <row r="699" spans="3:3" ht="12.5">
      <c r="C699" s="8"/>
    </row>
    <row r="700" spans="3:3" ht="12.5">
      <c r="C700" s="8"/>
    </row>
    <row r="701" spans="3:3" ht="12.5">
      <c r="C701" s="8"/>
    </row>
    <row r="702" spans="3:3" ht="12.5">
      <c r="C702" s="8"/>
    </row>
    <row r="703" spans="3:3" ht="12.5">
      <c r="C703" s="8"/>
    </row>
    <row r="704" spans="3:3" ht="12.5">
      <c r="C704" s="8"/>
    </row>
    <row r="705" spans="3:3" ht="12.5">
      <c r="C705" s="8"/>
    </row>
    <row r="706" spans="3:3" ht="12.5">
      <c r="C706" s="8"/>
    </row>
    <row r="707" spans="3:3" ht="12.5">
      <c r="C707" s="8"/>
    </row>
    <row r="708" spans="3:3" ht="12.5">
      <c r="C708" s="8"/>
    </row>
    <row r="709" spans="3:3" ht="12.5">
      <c r="C709" s="8"/>
    </row>
    <row r="710" spans="3:3" ht="12.5">
      <c r="C710" s="8"/>
    </row>
    <row r="711" spans="3:3" ht="12.5">
      <c r="C711" s="8"/>
    </row>
    <row r="712" spans="3:3" ht="12.5">
      <c r="C712" s="8"/>
    </row>
    <row r="713" spans="3:3" ht="12.5">
      <c r="C713" s="8"/>
    </row>
    <row r="714" spans="3:3" ht="12.5">
      <c r="C714" s="8"/>
    </row>
    <row r="715" spans="3:3" ht="12.5">
      <c r="C715" s="8"/>
    </row>
    <row r="716" spans="3:3" ht="12.5">
      <c r="C716" s="8"/>
    </row>
    <row r="717" spans="3:3" ht="12.5">
      <c r="C717" s="8"/>
    </row>
    <row r="718" spans="3:3" ht="12.5">
      <c r="C718" s="8"/>
    </row>
    <row r="719" spans="3:3" ht="12.5">
      <c r="C719" s="8"/>
    </row>
    <row r="720" spans="3:3" ht="12.5">
      <c r="C720" s="8"/>
    </row>
    <row r="721" spans="3:3" ht="12.5">
      <c r="C721" s="8"/>
    </row>
    <row r="722" spans="3:3" ht="12.5">
      <c r="C722" s="8"/>
    </row>
    <row r="723" spans="3:3" ht="12.5">
      <c r="C723" s="8"/>
    </row>
    <row r="724" spans="3:3" ht="12.5">
      <c r="C724" s="8"/>
    </row>
    <row r="725" spans="3:3" ht="12.5">
      <c r="C725" s="8"/>
    </row>
    <row r="726" spans="3:3" ht="12.5">
      <c r="C726" s="8"/>
    </row>
    <row r="727" spans="3:3" ht="12.5">
      <c r="C727" s="8"/>
    </row>
    <row r="728" spans="3:3" ht="12.5">
      <c r="C728" s="8"/>
    </row>
    <row r="729" spans="3:3" ht="12.5">
      <c r="C729" s="8"/>
    </row>
    <row r="730" spans="3:3" ht="12.5">
      <c r="C730" s="8"/>
    </row>
    <row r="731" spans="3:3" ht="12.5">
      <c r="C731" s="8"/>
    </row>
    <row r="732" spans="3:3" ht="12.5">
      <c r="C732" s="8"/>
    </row>
    <row r="733" spans="3:3" ht="12.5">
      <c r="C733" s="8"/>
    </row>
    <row r="734" spans="3:3" ht="12.5">
      <c r="C734" s="8"/>
    </row>
    <row r="735" spans="3:3" ht="12.5">
      <c r="C735" s="8"/>
    </row>
    <row r="736" spans="3:3" ht="12.5">
      <c r="C736" s="8"/>
    </row>
    <row r="737" spans="3:3" ht="12.5">
      <c r="C737" s="8"/>
    </row>
    <row r="738" spans="3:3" ht="12.5">
      <c r="C738" s="8"/>
    </row>
    <row r="739" spans="3:3" ht="12.5">
      <c r="C739" s="8"/>
    </row>
    <row r="740" spans="3:3" ht="12.5">
      <c r="C740" s="8"/>
    </row>
    <row r="741" spans="3:3" ht="12.5">
      <c r="C741" s="8"/>
    </row>
    <row r="742" spans="3:3" ht="12.5">
      <c r="C742" s="8"/>
    </row>
    <row r="743" spans="3:3" ht="12.5">
      <c r="C743" s="8"/>
    </row>
    <row r="744" spans="3:3" ht="12.5">
      <c r="C744" s="8"/>
    </row>
    <row r="745" spans="3:3" ht="12.5">
      <c r="C745" s="8"/>
    </row>
    <row r="746" spans="3:3" ht="12.5">
      <c r="C746" s="8"/>
    </row>
    <row r="747" spans="3:3" ht="12.5">
      <c r="C747" s="8"/>
    </row>
    <row r="748" spans="3:3" ht="12.5">
      <c r="C748" s="8"/>
    </row>
    <row r="749" spans="3:3" ht="12.5">
      <c r="C749" s="8"/>
    </row>
    <row r="750" spans="3:3" ht="12.5">
      <c r="C750" s="8"/>
    </row>
    <row r="751" spans="3:3" ht="12.5">
      <c r="C751" s="8"/>
    </row>
    <row r="752" spans="3:3" ht="12.5">
      <c r="C752" s="8"/>
    </row>
    <row r="753" spans="3:3" ht="12.5">
      <c r="C753" s="8"/>
    </row>
    <row r="754" spans="3:3" ht="12.5">
      <c r="C754" s="8"/>
    </row>
    <row r="755" spans="3:3" ht="12.5">
      <c r="C755" s="8"/>
    </row>
    <row r="756" spans="3:3" ht="12.5">
      <c r="C756" s="8"/>
    </row>
    <row r="757" spans="3:3" ht="12.5">
      <c r="C757" s="8"/>
    </row>
    <row r="758" spans="3:3" ht="12.5">
      <c r="C758" s="8"/>
    </row>
    <row r="759" spans="3:3" ht="12.5">
      <c r="C759" s="8"/>
    </row>
    <row r="760" spans="3:3" ht="12.5">
      <c r="C760" s="8"/>
    </row>
    <row r="761" spans="3:3" ht="12.5">
      <c r="C761" s="8"/>
    </row>
    <row r="762" spans="3:3" ht="12.5">
      <c r="C762" s="8"/>
    </row>
    <row r="763" spans="3:3" ht="12.5">
      <c r="C763" s="8"/>
    </row>
    <row r="764" spans="3:3" ht="12.5">
      <c r="C764" s="8"/>
    </row>
    <row r="765" spans="3:3" ht="12.5">
      <c r="C765" s="8"/>
    </row>
    <row r="766" spans="3:3" ht="12.5">
      <c r="C766" s="8"/>
    </row>
    <row r="767" spans="3:3" ht="12.5">
      <c r="C767" s="8"/>
    </row>
    <row r="768" spans="3:3" ht="12.5">
      <c r="C768" s="8"/>
    </row>
    <row r="769" spans="3:3" ht="12.5">
      <c r="C769" s="8"/>
    </row>
    <row r="770" spans="3:3" ht="12.5">
      <c r="C770" s="8"/>
    </row>
    <row r="771" spans="3:3" ht="12.5">
      <c r="C771" s="8"/>
    </row>
    <row r="772" spans="3:3" ht="12.5">
      <c r="C772" s="8"/>
    </row>
    <row r="773" spans="3:3" ht="12.5">
      <c r="C773" s="8"/>
    </row>
    <row r="774" spans="3:3" ht="12.5">
      <c r="C774" s="8"/>
    </row>
    <row r="775" spans="3:3" ht="12.5">
      <c r="C775" s="8"/>
    </row>
    <row r="776" spans="3:3" ht="12.5">
      <c r="C776" s="8"/>
    </row>
    <row r="777" spans="3:3" ht="12.5">
      <c r="C777" s="8"/>
    </row>
    <row r="778" spans="3:3" ht="12.5">
      <c r="C778" s="8"/>
    </row>
    <row r="779" spans="3:3" ht="12.5">
      <c r="C779" s="8"/>
    </row>
    <row r="780" spans="3:3" ht="12.5">
      <c r="C780" s="8"/>
    </row>
    <row r="781" spans="3:3" ht="12.5">
      <c r="C781" s="8"/>
    </row>
    <row r="782" spans="3:3" ht="12.5">
      <c r="C782" s="8"/>
    </row>
    <row r="783" spans="3:3" ht="12.5">
      <c r="C783" s="8"/>
    </row>
    <row r="784" spans="3:3" ht="12.5">
      <c r="C784" s="8"/>
    </row>
    <row r="785" spans="3:3" ht="12.5">
      <c r="C785" s="8"/>
    </row>
    <row r="786" spans="3:3" ht="12.5">
      <c r="C786" s="8"/>
    </row>
    <row r="787" spans="3:3" ht="12.5">
      <c r="C787" s="8"/>
    </row>
    <row r="788" spans="3:3" ht="12.5">
      <c r="C788" s="8"/>
    </row>
    <row r="789" spans="3:3" ht="12.5">
      <c r="C789" s="8"/>
    </row>
    <row r="790" spans="3:3" ht="12.5">
      <c r="C790" s="8"/>
    </row>
    <row r="791" spans="3:3" ht="12.5">
      <c r="C791" s="8"/>
    </row>
    <row r="792" spans="3:3" ht="12.5">
      <c r="C792" s="8"/>
    </row>
    <row r="793" spans="3:3" ht="12.5">
      <c r="C793" s="8"/>
    </row>
    <row r="794" spans="3:3" ht="12.5">
      <c r="C794" s="8"/>
    </row>
    <row r="795" spans="3:3" ht="12.5">
      <c r="C795" s="8"/>
    </row>
    <row r="796" spans="3:3" ht="12.5">
      <c r="C796" s="8"/>
    </row>
    <row r="797" spans="3:3" ht="12.5">
      <c r="C797" s="8"/>
    </row>
    <row r="798" spans="3:3" ht="12.5">
      <c r="C798" s="8"/>
    </row>
    <row r="799" spans="3:3" ht="12.5">
      <c r="C799" s="8"/>
    </row>
    <row r="800" spans="3:3" ht="12.5">
      <c r="C800" s="8"/>
    </row>
    <row r="801" spans="3:3" ht="12.5">
      <c r="C801" s="8"/>
    </row>
    <row r="802" spans="3:3" ht="12.5">
      <c r="C802" s="8"/>
    </row>
    <row r="803" spans="3:3" ht="12.5">
      <c r="C803" s="8"/>
    </row>
    <row r="804" spans="3:3" ht="12.5">
      <c r="C804" s="8"/>
    </row>
    <row r="805" spans="3:3" ht="12.5">
      <c r="C805" s="8"/>
    </row>
    <row r="806" spans="3:3" ht="12.5">
      <c r="C806" s="8"/>
    </row>
    <row r="807" spans="3:3" ht="12.5">
      <c r="C807" s="8"/>
    </row>
    <row r="808" spans="3:3" ht="12.5">
      <c r="C808" s="8"/>
    </row>
    <row r="809" spans="3:3" ht="12.5">
      <c r="C809" s="8"/>
    </row>
    <row r="810" spans="3:3" ht="12.5">
      <c r="C810" s="8"/>
    </row>
    <row r="811" spans="3:3" ht="12.5">
      <c r="C811" s="8"/>
    </row>
    <row r="812" spans="3:3" ht="12.5">
      <c r="C812" s="8"/>
    </row>
    <row r="813" spans="3:3" ht="12.5">
      <c r="C813" s="8"/>
    </row>
    <row r="814" spans="3:3" ht="12.5">
      <c r="C814" s="8"/>
    </row>
    <row r="815" spans="3:3" ht="12.5">
      <c r="C815" s="8"/>
    </row>
    <row r="816" spans="3:3" ht="12.5">
      <c r="C816" s="8"/>
    </row>
    <row r="817" spans="3:3" ht="12.5">
      <c r="C817" s="8"/>
    </row>
    <row r="818" spans="3:3" ht="12.5">
      <c r="C818" s="8"/>
    </row>
    <row r="819" spans="3:3" ht="12.5">
      <c r="C819" s="8"/>
    </row>
    <row r="820" spans="3:3" ht="12.5">
      <c r="C820" s="8"/>
    </row>
    <row r="821" spans="3:3" ht="12.5">
      <c r="C821" s="8"/>
    </row>
    <row r="822" spans="3:3" ht="12.5">
      <c r="C822" s="8"/>
    </row>
    <row r="823" spans="3:3" ht="12.5">
      <c r="C823" s="8"/>
    </row>
    <row r="824" spans="3:3" ht="12.5">
      <c r="C824" s="8"/>
    </row>
    <row r="825" spans="3:3" ht="12.5">
      <c r="C825" s="8"/>
    </row>
    <row r="826" spans="3:3" ht="12.5">
      <c r="C826" s="8"/>
    </row>
    <row r="827" spans="3:3" ht="12.5">
      <c r="C827" s="8"/>
    </row>
    <row r="828" spans="3:3" ht="12.5">
      <c r="C828" s="8"/>
    </row>
    <row r="829" spans="3:3" ht="12.5">
      <c r="C829" s="8"/>
    </row>
    <row r="830" spans="3:3" ht="12.5">
      <c r="C830" s="8"/>
    </row>
    <row r="831" spans="3:3" ht="12.5">
      <c r="C831" s="8"/>
    </row>
    <row r="832" spans="3:3" ht="12.5">
      <c r="C832" s="8"/>
    </row>
    <row r="833" spans="3:3" ht="12.5">
      <c r="C833" s="8"/>
    </row>
    <row r="834" spans="3:3" ht="12.5">
      <c r="C834" s="8"/>
    </row>
    <row r="835" spans="3:3" ht="12.5">
      <c r="C835" s="8"/>
    </row>
    <row r="836" spans="3:3" ht="12.5">
      <c r="C836" s="8"/>
    </row>
    <row r="837" spans="3:3" ht="12.5">
      <c r="C837" s="8"/>
    </row>
    <row r="838" spans="3:3" ht="12.5">
      <c r="C838" s="8"/>
    </row>
    <row r="839" spans="3:3" ht="12.5">
      <c r="C839" s="8"/>
    </row>
    <row r="840" spans="3:3" ht="12.5">
      <c r="C840" s="8"/>
    </row>
    <row r="841" spans="3:3" ht="12.5">
      <c r="C841" s="8"/>
    </row>
    <row r="842" spans="3:3" ht="12.5">
      <c r="C842" s="8"/>
    </row>
    <row r="843" spans="3:3" ht="12.5">
      <c r="C843" s="8"/>
    </row>
    <row r="844" spans="3:3" ht="12.5">
      <c r="C844" s="8"/>
    </row>
    <row r="845" spans="3:3" ht="12.5">
      <c r="C845" s="8"/>
    </row>
    <row r="846" spans="3:3" ht="12.5">
      <c r="C846" s="8"/>
    </row>
    <row r="847" spans="3:3" ht="12.5">
      <c r="C847" s="8"/>
    </row>
    <row r="848" spans="3:3" ht="12.5">
      <c r="C848" s="8"/>
    </row>
    <row r="849" spans="3:3" ht="12.5">
      <c r="C849" s="8"/>
    </row>
    <row r="850" spans="3:3" ht="12.5">
      <c r="C850" s="8"/>
    </row>
    <row r="851" spans="3:3" ht="12.5">
      <c r="C851" s="8"/>
    </row>
    <row r="852" spans="3:3" ht="12.5">
      <c r="C852" s="8"/>
    </row>
    <row r="853" spans="3:3" ht="12.5">
      <c r="C853" s="8"/>
    </row>
    <row r="854" spans="3:3" ht="12.5">
      <c r="C854" s="8"/>
    </row>
    <row r="855" spans="3:3" ht="12.5">
      <c r="C855" s="8"/>
    </row>
    <row r="856" spans="3:3" ht="12.5">
      <c r="C856" s="8"/>
    </row>
    <row r="857" spans="3:3" ht="12.5">
      <c r="C857" s="8"/>
    </row>
    <row r="858" spans="3:3" ht="12.5">
      <c r="C858" s="8"/>
    </row>
    <row r="859" spans="3:3" ht="12.5">
      <c r="C859" s="8"/>
    </row>
    <row r="860" spans="3:3" ht="12.5">
      <c r="C860" s="8"/>
    </row>
    <row r="861" spans="3:3" ht="12.5">
      <c r="C861" s="8"/>
    </row>
    <row r="862" spans="3:3" ht="12.5">
      <c r="C862" s="8"/>
    </row>
    <row r="863" spans="3:3" ht="12.5">
      <c r="C863" s="8"/>
    </row>
    <row r="864" spans="3:3" ht="12.5">
      <c r="C864" s="8"/>
    </row>
    <row r="865" spans="3:3" ht="12.5">
      <c r="C865" s="8"/>
    </row>
    <row r="866" spans="3:3" ht="12.5">
      <c r="C866" s="8"/>
    </row>
    <row r="867" spans="3:3" ht="12.5">
      <c r="C867" s="8"/>
    </row>
    <row r="868" spans="3:3" ht="12.5">
      <c r="C868" s="8"/>
    </row>
    <row r="869" spans="3:3" ht="12.5">
      <c r="C869" s="8"/>
    </row>
    <row r="870" spans="3:3" ht="12.5">
      <c r="C870" s="8"/>
    </row>
    <row r="871" spans="3:3" ht="12.5">
      <c r="C871" s="8"/>
    </row>
    <row r="872" spans="3:3" ht="12.5">
      <c r="C872" s="8"/>
    </row>
    <row r="873" spans="3:3" ht="12.5">
      <c r="C873" s="8"/>
    </row>
    <row r="874" spans="3:3" ht="12.5">
      <c r="C874" s="8"/>
    </row>
    <row r="875" spans="3:3" ht="12.5">
      <c r="C875" s="8"/>
    </row>
    <row r="876" spans="3:3" ht="12.5">
      <c r="C876" s="8"/>
    </row>
    <row r="877" spans="3:3" ht="12.5">
      <c r="C877" s="8"/>
    </row>
    <row r="878" spans="3:3" ht="12.5">
      <c r="C878" s="8"/>
    </row>
    <row r="879" spans="3:3" ht="12.5">
      <c r="C879" s="8"/>
    </row>
    <row r="880" spans="3:3" ht="12.5">
      <c r="C880" s="8"/>
    </row>
    <row r="881" spans="3:3" ht="12.5">
      <c r="C881" s="8"/>
    </row>
    <row r="882" spans="3:3" ht="12.5">
      <c r="C882" s="8"/>
    </row>
    <row r="883" spans="3:3" ht="12.5">
      <c r="C883" s="8"/>
    </row>
    <row r="884" spans="3:3" ht="12.5">
      <c r="C884" s="8"/>
    </row>
    <row r="885" spans="3:3" ht="12.5">
      <c r="C885" s="8"/>
    </row>
    <row r="886" spans="3:3" ht="12.5">
      <c r="C886" s="8"/>
    </row>
    <row r="887" spans="3:3" ht="12.5">
      <c r="C887" s="8"/>
    </row>
    <row r="888" spans="3:3" ht="12.5">
      <c r="C888" s="8"/>
    </row>
    <row r="889" spans="3:3" ht="12.5">
      <c r="C889" s="8"/>
    </row>
    <row r="890" spans="3:3" ht="12.5">
      <c r="C890" s="8"/>
    </row>
    <row r="891" spans="3:3" ht="12.5">
      <c r="C891" s="8"/>
    </row>
    <row r="892" spans="3:3" ht="12.5">
      <c r="C892" s="8"/>
    </row>
    <row r="893" spans="3:3" ht="12.5">
      <c r="C893" s="8"/>
    </row>
    <row r="894" spans="3:3" ht="12.5">
      <c r="C894" s="8"/>
    </row>
    <row r="895" spans="3:3" ht="12.5">
      <c r="C895" s="8"/>
    </row>
    <row r="896" spans="3:3" ht="12.5">
      <c r="C896" s="8"/>
    </row>
    <row r="897" spans="3:3" ht="12.5">
      <c r="C897" s="8"/>
    </row>
    <row r="898" spans="3:3" ht="12.5">
      <c r="C898" s="8"/>
    </row>
    <row r="899" spans="3:3" ht="12.5">
      <c r="C899" s="8"/>
    </row>
    <row r="900" spans="3:3" ht="12.5">
      <c r="C900" s="8"/>
    </row>
    <row r="901" spans="3:3" ht="12.5">
      <c r="C901" s="8"/>
    </row>
    <row r="902" spans="3:3" ht="12.5">
      <c r="C902" s="8"/>
    </row>
    <row r="903" spans="3:3" ht="12.5">
      <c r="C903" s="8"/>
    </row>
    <row r="904" spans="3:3" ht="12.5">
      <c r="C904" s="8"/>
    </row>
    <row r="905" spans="3:3" ht="12.5">
      <c r="C905" s="8"/>
    </row>
    <row r="906" spans="3:3" ht="12.5">
      <c r="C906" s="8"/>
    </row>
    <row r="907" spans="3:3" ht="12.5">
      <c r="C907" s="8"/>
    </row>
    <row r="908" spans="3:3" ht="12.5">
      <c r="C908" s="8"/>
    </row>
    <row r="909" spans="3:3" ht="12.5">
      <c r="C909" s="8"/>
    </row>
    <row r="910" spans="3:3" ht="12.5">
      <c r="C910" s="8"/>
    </row>
    <row r="911" spans="3:3" ht="12.5">
      <c r="C911" s="8"/>
    </row>
    <row r="912" spans="3:3" ht="12.5">
      <c r="C912" s="8"/>
    </row>
    <row r="913" spans="3:3" ht="12.5">
      <c r="C913" s="8"/>
    </row>
    <row r="914" spans="3:3" ht="12.5">
      <c r="C914" s="8"/>
    </row>
    <row r="915" spans="3:3" ht="12.5">
      <c r="C915" s="8"/>
    </row>
    <row r="916" spans="3:3" ht="12.5">
      <c r="C916" s="8"/>
    </row>
    <row r="917" spans="3:3" ht="12.5">
      <c r="C917" s="8"/>
    </row>
    <row r="918" spans="3:3" ht="12.5">
      <c r="C918" s="8"/>
    </row>
    <row r="919" spans="3:3" ht="12.5">
      <c r="C919" s="8"/>
    </row>
    <row r="920" spans="3:3" ht="12.5">
      <c r="C920" s="8"/>
    </row>
    <row r="921" spans="3:3" ht="12.5">
      <c r="C921" s="8"/>
    </row>
    <row r="922" spans="3:3" ht="12.5">
      <c r="C922" s="8"/>
    </row>
    <row r="923" spans="3:3" ht="12.5">
      <c r="C923" s="8"/>
    </row>
    <row r="924" spans="3:3" ht="12.5">
      <c r="C924" s="8"/>
    </row>
    <row r="925" spans="3:3" ht="12.5">
      <c r="C925" s="8"/>
    </row>
    <row r="926" spans="3:3" ht="12.5">
      <c r="C926" s="8"/>
    </row>
    <row r="927" spans="3:3" ht="12.5">
      <c r="C927" s="8"/>
    </row>
    <row r="928" spans="3:3" ht="12.5">
      <c r="C928" s="8"/>
    </row>
    <row r="929" spans="3:3" ht="12.5">
      <c r="C929" s="8"/>
    </row>
    <row r="930" spans="3:3" ht="12.5">
      <c r="C930" s="8"/>
    </row>
    <row r="931" spans="3:3" ht="12.5">
      <c r="C931" s="8"/>
    </row>
    <row r="932" spans="3:3" ht="12.5">
      <c r="C932" s="8"/>
    </row>
    <row r="933" spans="3:3" ht="12.5">
      <c r="C933" s="8"/>
    </row>
    <row r="934" spans="3:3" ht="12.5">
      <c r="C934" s="8"/>
    </row>
    <row r="935" spans="3:3" ht="12.5">
      <c r="C935" s="8"/>
    </row>
    <row r="936" spans="3:3" ht="12.5">
      <c r="C936" s="8"/>
    </row>
    <row r="937" spans="3:3" ht="12.5">
      <c r="C937" s="8"/>
    </row>
    <row r="938" spans="3:3" ht="12.5">
      <c r="C938" s="8"/>
    </row>
    <row r="939" spans="3:3" ht="12.5">
      <c r="C939" s="8"/>
    </row>
    <row r="940" spans="3:3" ht="12.5">
      <c r="C940" s="8"/>
    </row>
    <row r="941" spans="3:3" ht="12.5">
      <c r="C941" s="8"/>
    </row>
    <row r="942" spans="3:3" ht="12.5">
      <c r="C942" s="8"/>
    </row>
    <row r="943" spans="3:3" ht="12.5">
      <c r="C943" s="8"/>
    </row>
    <row r="944" spans="3:3" ht="12.5">
      <c r="C944" s="8"/>
    </row>
    <row r="945" spans="3:3" ht="12.5">
      <c r="C945" s="8"/>
    </row>
    <row r="946" spans="3:3" ht="12.5">
      <c r="C946" s="8"/>
    </row>
    <row r="947" spans="3:3" ht="12.5">
      <c r="C947" s="8"/>
    </row>
    <row r="948" spans="3:3" ht="12.5">
      <c r="C948" s="8"/>
    </row>
    <row r="949" spans="3:3" ht="12.5">
      <c r="C949" s="8"/>
    </row>
    <row r="950" spans="3:3" ht="12.5">
      <c r="C950" s="8"/>
    </row>
    <row r="951" spans="3:3" ht="12.5">
      <c r="C951" s="8"/>
    </row>
    <row r="952" spans="3:3" ht="12.5">
      <c r="C952" s="8"/>
    </row>
    <row r="953" spans="3:3" ht="12.5">
      <c r="C953" s="8"/>
    </row>
    <row r="954" spans="3:3" ht="12.5">
      <c r="C954" s="8"/>
    </row>
    <row r="955" spans="3:3" ht="12.5">
      <c r="C955" s="8"/>
    </row>
    <row r="956" spans="3:3" ht="12.5">
      <c r="C956" s="8"/>
    </row>
    <row r="957" spans="3:3" ht="12.5">
      <c r="C957" s="8"/>
    </row>
    <row r="958" spans="3:3" ht="12.5">
      <c r="C958" s="8"/>
    </row>
    <row r="959" spans="3:3" ht="12.5">
      <c r="C959" s="8"/>
    </row>
    <row r="960" spans="3:3" ht="12.5">
      <c r="C960" s="8"/>
    </row>
    <row r="961" spans="3:3" ht="12.5">
      <c r="C961" s="8"/>
    </row>
    <row r="962" spans="3:3" ht="12.5">
      <c r="C962" s="8"/>
    </row>
    <row r="963" spans="3:3" ht="12.5">
      <c r="C963" s="8"/>
    </row>
    <row r="964" spans="3:3" ht="12.5">
      <c r="C964" s="8"/>
    </row>
    <row r="965" spans="3:3" ht="12.5">
      <c r="C965" s="8"/>
    </row>
    <row r="966" spans="3:3" ht="12.5">
      <c r="C966" s="8"/>
    </row>
    <row r="967" spans="3:3" ht="12.5">
      <c r="C967" s="8"/>
    </row>
    <row r="968" spans="3:3" ht="12.5">
      <c r="C968" s="8"/>
    </row>
    <row r="969" spans="3:3" ht="12.5">
      <c r="C969" s="8"/>
    </row>
    <row r="970" spans="3:3" ht="12.5">
      <c r="C970" s="8"/>
    </row>
    <row r="971" spans="3:3" ht="12.5">
      <c r="C971" s="8"/>
    </row>
    <row r="972" spans="3:3" ht="12.5">
      <c r="C972" s="8"/>
    </row>
    <row r="973" spans="3:3" ht="12.5">
      <c r="C973" s="8"/>
    </row>
    <row r="974" spans="3:3" ht="12.5">
      <c r="C974" s="8"/>
    </row>
    <row r="975" spans="3:3" ht="12.5">
      <c r="C975" s="8"/>
    </row>
    <row r="976" spans="3:3" ht="12.5">
      <c r="C976" s="8"/>
    </row>
    <row r="977" spans="3:3" ht="12.5">
      <c r="C977" s="8"/>
    </row>
    <row r="978" spans="3:3" ht="12.5">
      <c r="C978" s="8"/>
    </row>
    <row r="979" spans="3:3" ht="12.5">
      <c r="C979" s="8"/>
    </row>
    <row r="980" spans="3:3" ht="12.5">
      <c r="C980" s="8"/>
    </row>
    <row r="981" spans="3:3" ht="12.5">
      <c r="C981" s="8"/>
    </row>
    <row r="982" spans="3:3" ht="12.5">
      <c r="C982" s="8"/>
    </row>
    <row r="983" spans="3:3" ht="12.5">
      <c r="C983" s="8"/>
    </row>
    <row r="984" spans="3:3" ht="12.5">
      <c r="C984" s="8"/>
    </row>
    <row r="985" spans="3:3" ht="12.5">
      <c r="C985" s="8"/>
    </row>
    <row r="986" spans="3:3" ht="12.5">
      <c r="C986" s="8"/>
    </row>
    <row r="987" spans="3:3" ht="12.5">
      <c r="C987" s="8"/>
    </row>
    <row r="988" spans="3:3" ht="12.5">
      <c r="C988" s="8"/>
    </row>
    <row r="989" spans="3:3" ht="12.5">
      <c r="C989" s="8"/>
    </row>
    <row r="990" spans="3:3" ht="12.5">
      <c r="C990" s="8"/>
    </row>
    <row r="991" spans="3:3" ht="12.5">
      <c r="C991" s="8"/>
    </row>
    <row r="992" spans="3:3" ht="12.5">
      <c r="C992" s="8"/>
    </row>
    <row r="993" spans="3:3" ht="12.5">
      <c r="C993" s="8"/>
    </row>
    <row r="994" spans="3:3" ht="12.5">
      <c r="C994" s="8"/>
    </row>
    <row r="995" spans="3:3" ht="12.5">
      <c r="C995" s="8"/>
    </row>
    <row r="996" spans="3:3" ht="12.5">
      <c r="C996" s="8"/>
    </row>
    <row r="997" spans="3:3" ht="12.5">
      <c r="C997" s="8"/>
    </row>
    <row r="998" spans="3:3" ht="12.5">
      <c r="C998" s="8"/>
    </row>
    <row r="999" spans="3:3" ht="12.5">
      <c r="C999" s="8"/>
    </row>
    <row r="1000" spans="3:3" ht="12.5">
      <c r="C1000" s="8"/>
    </row>
  </sheetData>
  <phoneticPr fontId="10"/>
  <conditionalFormatting sqref="E1:E1000">
    <cfRule type="expression" dxfId="0" priority="1">
      <formula>COUNTIF($E:$E,E2)&gt;=2</formula>
    </cfRule>
  </conditionalFormatting>
  <dataValidations count="1">
    <dataValidation type="list" allowBlank="1" showErrorMessage="1" sqref="C2:C1000">
      <formula1>"MUST,WANT"</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E6"/>
  <sheetViews>
    <sheetView tabSelected="1" workbookViewId="0">
      <selection activeCell="D15" sqref="D15"/>
    </sheetView>
  </sheetViews>
  <sheetFormatPr defaultColWidth="12.6328125" defaultRowHeight="15.75" customHeight="1"/>
  <cols>
    <col min="1" max="1" width="47" customWidth="1"/>
    <col min="3" max="3" width="14" customWidth="1"/>
    <col min="4" max="4" width="13.6328125" customWidth="1"/>
    <col min="5" max="5" width="17.6328125" customWidth="1"/>
  </cols>
  <sheetData>
    <row r="1" spans="1:5" ht="15.75" customHeight="1">
      <c r="B1" s="9" t="s">
        <v>95</v>
      </c>
      <c r="C1" s="26" t="s">
        <v>299</v>
      </c>
      <c r="D1" s="26" t="s">
        <v>300</v>
      </c>
    </row>
    <row r="2" spans="1:5" ht="15.75" customHeight="1">
      <c r="A2" s="10" t="s">
        <v>96</v>
      </c>
      <c r="B2" s="11" t="s">
        <v>97</v>
      </c>
      <c r="C2" s="12">
        <v>229955</v>
      </c>
      <c r="D2" s="12">
        <v>130375</v>
      </c>
      <c r="E2" s="27"/>
    </row>
    <row r="4" spans="1:5" ht="15.75" customHeight="1">
      <c r="A4" s="13" t="s">
        <v>98</v>
      </c>
      <c r="B4" s="11" t="s">
        <v>97</v>
      </c>
      <c r="C4" s="12">
        <v>750145</v>
      </c>
      <c r="D4" s="12">
        <v>149956</v>
      </c>
      <c r="E4" s="27"/>
    </row>
    <row r="5" spans="1:5" ht="15.75" customHeight="1">
      <c r="D5" s="12">
        <v>103458</v>
      </c>
      <c r="E5" s="27"/>
    </row>
    <row r="6" spans="1:5" ht="15.75" customHeight="1">
      <c r="D6" s="12">
        <v>159033</v>
      </c>
      <c r="E6" s="27"/>
    </row>
  </sheetData>
  <phoneticPr fontId="10"/>
  <hyperlinks>
    <hyperlink ref="B2" r:id="rId1"/>
    <hyperlink ref="C2" r:id="rId2" display="https://newmg2.matchingood-asp10.info/ridealstaffsagamihara_mgtest/mghakenSales.php?mode=search&amp;salesStatus%5B%5D=%E8%AB%8B%E6%B1%82%E6%B8%88%E6%9C%AA%E5%85%A5%E9%87%91&amp;sales_date_inf=&amp;sales_date_sup=&amp;assignmentId=&amp;jobId=&amp;company_name=%E6%A0%AA%E5%BC%8F%E4%BC%9A%E7%A4%BE%E5%85%AB%E9%87%8D%E6%A4%BF%E6%9C%AC%E8%88%97%E4%BC%8A%E5%8B%A2%E5%8E%9F%E5%B7%A5%E5%A0%B4&amp;demand_date_inf=&amp;demand_date_sup=&amp;billing_dst_name=&amp;receipt_due_date_inf=&amp;receipt_due_date_sup=&amp;selectedAgent=%E5%85%A8%E4%BD%93&amp;agentDepartment=%E5%85%A8%E4%BD%93&amp;company_agent=%E5%85%A8%E4%BD%93&amp;receipt_date_inf=&amp;receipt_date_sup=&amp;demand_receipt_from_date=2026-01-01&amp;demand_receipt_to_date=2026-01-31&amp;demandMemo=&amp;receiptMemo=&amp;submitB=%E6%A4%9C%E7%B4%A2"/>
    <hyperlink ref="D2" r:id="rId3" display="https://newmg2.matchingood-asp10.info/ridealstaffsagamihara_mgtest/mghakenKyuyo.php?mode=calcByExcel&amp;prev=&amp;next=&amp;closing_date_inf=2026-01-01&amp;closing_date_sup=2026-01-31&amp;company_name=&amp;payment_date_inf=&amp;payment_date_sup=&amp;staff_name=%E6%84%9B%E7%94%B2%E3%80%80%E8%83%A1%E6%A1%83&amp;shime_flag=%E7%A2%BA%E5%AE%9A%E6%96%99%E9%87%91&amp;pay_flag=on&amp;hakenmoto_id=&amp;payment_type=-----&amp;submitbutton=%E6%A4%9C%E7%B4%A2"/>
    <hyperlink ref="B4" r:id="rId4"/>
    <hyperlink ref="C4" r:id="rId5" display="https://newmg2.matchingood-asp10.info/ridealstaffsagamihara_mgtest/mghakenSales.php?mode=search&amp;salesStatus%5B%5D=%E8%AB%8B%E6%B1%82%E6%B8%88%E6%9C%AA%E5%85%A5%E9%87%91&amp;sales_date_inf=&amp;sales_date_sup=&amp;assignmentId=&amp;jobId=&amp;company_name=%E3%83%AF%E3%83%83%E3%83%86%E3%82%A3%E3%83%BC%E6%A0%AA%E5%BC%8F%E4%BC%9A%E7%A4%BE&amp;demand_date_inf=&amp;demand_date_sup=&amp;billing_dst_name=&amp;receipt_due_date_inf=&amp;receipt_due_date_sup=&amp;selectedAgent=%E5%85%A8%E4%BD%93&amp;agentDepartment=%E5%85%A8%E4%BD%93&amp;company_agent=%E5%85%A8%E4%BD%93&amp;receipt_date_inf=&amp;receipt_date_sup=&amp;demand_receipt_from_date=2026-01-01&amp;demand_receipt_to_date=2026-01-31&amp;demandMemo=&amp;receiptMemo=&amp;submitB=%E6%A4%9C%E7%B4%A2"/>
    <hyperlink ref="D4" r:id="rId6" display="https://newmg2.matchingood-asp10.info/ridealstaffsagamihara_mgtest/mghakenKyuyo.php?mode=calcByExcel&amp;prev=&amp;next=&amp;closing_date_inf=2026-01-01&amp;closing_date_sup=2026-01-31&amp;company_name=%E3%83%AF%E3%83%83%E3%83%86%E3%82%A3%E3%83%BC%E6%A0%AA%E5%BC%8F%E4%BC%9A%E7%A4%BE&amp;payment_date_inf=&amp;payment_date_sup=&amp;staff_name=&amp;shime_flag=%E7%A2%BA%E5%AE%9A%E6%96%99%E9%87%91&amp;pay_flag=on&amp;hakenmoto_id=&amp;payment_type=-----&amp;submitbutton=%E6%A4%9C%E7%B4%A2"/>
    <hyperlink ref="D5" r:id="rId7" display="https://newmg2.matchingood-asp10.info/ridealstaffsagamihara_mgtest/mghakenKyuyo.php?mode=calcByExcel&amp;prev=&amp;next=&amp;closing_date_inf=2026-01-01&amp;closing_date_sup=2026-01-31&amp;company_name=%E3%83%AF%E3%83%83%E3%83%86%E3%82%A3%E3%83%BC%E6%A0%AA%E5%BC%8F%E4%BC%9A%E7%A4%BE&amp;payment_date_inf=&amp;payment_date_sup=&amp;staff_name=&amp;shime_flag=%E7%A2%BA%E5%AE%9A%E6%96%99%E9%87%91&amp;pay_flag=on&amp;hakenmoto_id=&amp;payment_type=-----&amp;submitbutton=%E6%A4%9C%E7%B4%A2"/>
    <hyperlink ref="D6" r:id="rId8" display="https://newmg2.matchingood-asp10.info/ridealstaffsagamihara_mgtest/mghakenKyuyo.php?mode=calcByExcel&amp;prev=&amp;next=&amp;closing_date_inf=2026-01-01&amp;closing_date_sup=2026-01-31&amp;company_name=%E3%83%AF%E3%83%83%E3%83%86%E3%82%A3%E3%83%BC%E6%A0%AA%E5%BC%8F%E4%BC%9A%E7%A4%BE&amp;payment_date_inf=&amp;payment_date_sup=&amp;staff_name=&amp;shime_flag=%E7%A2%BA%E5%AE%9A%E6%96%99%E9%87%91&amp;pay_flag=on&amp;hakenmoto_id=&amp;payment_type=-----&amp;submitbutton=%E6%A4%9C%E7%B4%A2"/>
  </hyperlinks>
  <pageMargins left="0.7" right="0.7" top="0.75" bottom="0.75" header="0.3" footer="0.3"/>
  <legacy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outlinePr summaryBelow="0" summaryRight="0"/>
  </sheetPr>
  <dimension ref="A1:AV3"/>
  <sheetViews>
    <sheetView workbookViewId="0"/>
  </sheetViews>
  <sheetFormatPr defaultColWidth="12.6328125" defaultRowHeight="15.75" customHeight="1"/>
  <sheetData>
    <row r="1" spans="1:48" ht="15.75" customHeight="1">
      <c r="A1" s="14" t="s">
        <v>99</v>
      </c>
      <c r="B1" s="14" t="s">
        <v>100</v>
      </c>
      <c r="C1" s="14" t="s">
        <v>101</v>
      </c>
      <c r="D1" s="14" t="s">
        <v>102</v>
      </c>
      <c r="E1" s="14" t="s">
        <v>103</v>
      </c>
      <c r="F1" s="14" t="s">
        <v>104</v>
      </c>
      <c r="G1" s="24" t="s">
        <v>105</v>
      </c>
      <c r="H1" s="25"/>
      <c r="I1" s="25"/>
      <c r="J1" s="14" t="s">
        <v>106</v>
      </c>
      <c r="K1" s="14" t="s">
        <v>107</v>
      </c>
      <c r="L1" s="14" t="s">
        <v>108</v>
      </c>
      <c r="M1" s="14" t="s">
        <v>109</v>
      </c>
      <c r="N1" s="14" t="s">
        <v>110</v>
      </c>
      <c r="O1" s="14" t="s">
        <v>111</v>
      </c>
      <c r="P1" s="14" t="s">
        <v>112</v>
      </c>
      <c r="Q1" s="14" t="s">
        <v>113</v>
      </c>
      <c r="R1" s="14" t="s">
        <v>114</v>
      </c>
      <c r="S1" s="24" t="s">
        <v>115</v>
      </c>
      <c r="T1" s="25"/>
      <c r="U1" s="25"/>
      <c r="V1" s="14" t="s">
        <v>116</v>
      </c>
      <c r="W1" s="14" t="s">
        <v>117</v>
      </c>
      <c r="X1" s="14" t="s">
        <v>118</v>
      </c>
      <c r="Y1" s="14" t="s">
        <v>119</v>
      </c>
      <c r="Z1" s="14" t="s">
        <v>120</v>
      </c>
      <c r="AA1" s="14" t="s">
        <v>121</v>
      </c>
      <c r="AB1" s="14" t="s">
        <v>122</v>
      </c>
      <c r="AC1" s="14" t="s">
        <v>123</v>
      </c>
      <c r="AD1" s="14" t="s">
        <v>124</v>
      </c>
      <c r="AE1" s="14" t="s">
        <v>125</v>
      </c>
      <c r="AF1" s="14" t="s">
        <v>126</v>
      </c>
      <c r="AG1" s="14" t="s">
        <v>127</v>
      </c>
      <c r="AH1" s="14" t="s">
        <v>128</v>
      </c>
      <c r="AI1" s="14" t="s">
        <v>129</v>
      </c>
      <c r="AJ1" s="14" t="s">
        <v>130</v>
      </c>
      <c r="AK1" s="14" t="s">
        <v>131</v>
      </c>
      <c r="AL1" s="14" t="s">
        <v>132</v>
      </c>
      <c r="AM1" s="14" t="s">
        <v>133</v>
      </c>
      <c r="AN1" s="14" t="s">
        <v>134</v>
      </c>
      <c r="AO1" s="14" t="s">
        <v>135</v>
      </c>
      <c r="AP1" s="14" t="s">
        <v>136</v>
      </c>
      <c r="AQ1" s="14" t="s">
        <v>137</v>
      </c>
      <c r="AR1" s="14" t="s">
        <v>138</v>
      </c>
      <c r="AS1" s="14" t="s">
        <v>139</v>
      </c>
      <c r="AT1" s="14" t="s">
        <v>140</v>
      </c>
      <c r="AU1" s="14" t="s">
        <v>141</v>
      </c>
      <c r="AV1" s="14" t="s">
        <v>142</v>
      </c>
    </row>
    <row r="2" spans="1:48" ht="15.75" customHeight="1">
      <c r="A2" s="15">
        <v>303</v>
      </c>
      <c r="B2" s="14" t="s">
        <v>143</v>
      </c>
      <c r="C2" s="15">
        <v>620</v>
      </c>
      <c r="D2" s="14" t="s">
        <v>143</v>
      </c>
      <c r="E2" s="15">
        <v>15</v>
      </c>
      <c r="F2" s="14" t="s">
        <v>144</v>
      </c>
      <c r="G2" s="15">
        <v>15</v>
      </c>
      <c r="H2" s="16"/>
      <c r="I2" s="16"/>
      <c r="J2" s="14" t="s">
        <v>145</v>
      </c>
      <c r="K2" s="14" t="s">
        <v>146</v>
      </c>
      <c r="L2" s="14" t="s">
        <v>147</v>
      </c>
      <c r="M2" s="15">
        <v>15</v>
      </c>
      <c r="N2" s="14" t="s">
        <v>145</v>
      </c>
      <c r="O2" s="14" t="s">
        <v>146</v>
      </c>
      <c r="P2" s="14" t="s">
        <v>147</v>
      </c>
      <c r="Q2" s="15">
        <v>15</v>
      </c>
      <c r="R2" s="14" t="s">
        <v>144</v>
      </c>
      <c r="S2" s="15">
        <v>15</v>
      </c>
      <c r="T2" s="16"/>
      <c r="U2" s="16"/>
      <c r="V2" s="14" t="s">
        <v>145</v>
      </c>
      <c r="W2" s="14" t="s">
        <v>146</v>
      </c>
      <c r="X2" s="14" t="s">
        <v>147</v>
      </c>
      <c r="Y2" s="15">
        <v>15</v>
      </c>
      <c r="Z2" s="14" t="s">
        <v>145</v>
      </c>
      <c r="AA2" s="14" t="s">
        <v>146</v>
      </c>
      <c r="AB2" s="14" t="s">
        <v>147</v>
      </c>
      <c r="AC2" s="16"/>
      <c r="AD2" s="14" t="s">
        <v>148</v>
      </c>
      <c r="AE2" s="24"/>
      <c r="AF2" s="25"/>
      <c r="AG2" s="14"/>
      <c r="AH2" s="14"/>
      <c r="AI2" s="16"/>
      <c r="AJ2" s="16"/>
      <c r="AK2" s="16"/>
      <c r="AL2" s="14"/>
      <c r="AM2" s="14"/>
      <c r="AN2" s="14"/>
      <c r="AO2" s="14"/>
      <c r="AP2" s="14" t="s">
        <v>149</v>
      </c>
      <c r="AQ2" s="14" t="s">
        <v>147</v>
      </c>
      <c r="AR2" s="14" t="s">
        <v>150</v>
      </c>
      <c r="AS2" s="14" t="s">
        <v>151</v>
      </c>
      <c r="AT2" s="14" t="s">
        <v>150</v>
      </c>
      <c r="AU2" s="14" t="s">
        <v>152</v>
      </c>
      <c r="AV2" s="16"/>
    </row>
    <row r="3" spans="1:48" ht="15.75" customHeight="1">
      <c r="A3" s="15">
        <v>215</v>
      </c>
      <c r="B3" s="14" t="s">
        <v>153</v>
      </c>
      <c r="C3" s="15">
        <v>532</v>
      </c>
      <c r="D3" s="14" t="s">
        <v>153</v>
      </c>
      <c r="E3" s="15">
        <v>15</v>
      </c>
      <c r="F3" s="14" t="s">
        <v>144</v>
      </c>
      <c r="G3" s="15">
        <v>15</v>
      </c>
      <c r="H3" s="16"/>
      <c r="I3" s="16"/>
      <c r="J3" s="14" t="s">
        <v>145</v>
      </c>
      <c r="K3" s="14" t="s">
        <v>146</v>
      </c>
      <c r="L3" s="14" t="s">
        <v>147</v>
      </c>
      <c r="M3" s="15">
        <v>15</v>
      </c>
      <c r="N3" s="14" t="s">
        <v>145</v>
      </c>
      <c r="O3" s="14" t="s">
        <v>146</v>
      </c>
      <c r="P3" s="14" t="s">
        <v>147</v>
      </c>
      <c r="Q3" s="15">
        <v>15</v>
      </c>
      <c r="R3" s="14" t="s">
        <v>144</v>
      </c>
      <c r="S3" s="15">
        <v>15</v>
      </c>
      <c r="T3" s="16"/>
      <c r="U3" s="16"/>
      <c r="V3" s="14" t="s">
        <v>145</v>
      </c>
      <c r="W3" s="14" t="s">
        <v>146</v>
      </c>
      <c r="X3" s="14" t="s">
        <v>147</v>
      </c>
      <c r="Y3" s="15">
        <v>15</v>
      </c>
      <c r="Z3" s="14" t="s">
        <v>145</v>
      </c>
      <c r="AA3" s="14" t="s">
        <v>146</v>
      </c>
      <c r="AB3" s="14" t="s">
        <v>147</v>
      </c>
      <c r="AC3" s="16"/>
      <c r="AD3" s="14" t="s">
        <v>154</v>
      </c>
      <c r="AE3" s="24"/>
      <c r="AF3" s="25"/>
      <c r="AG3" s="14"/>
      <c r="AH3" s="14"/>
      <c r="AI3" s="16"/>
      <c r="AJ3" s="16"/>
      <c r="AK3" s="16"/>
      <c r="AL3" s="14"/>
      <c r="AM3" s="14"/>
      <c r="AN3" s="16"/>
      <c r="AO3" s="16"/>
      <c r="AP3" s="14" t="s">
        <v>149</v>
      </c>
      <c r="AQ3" s="14" t="s">
        <v>147</v>
      </c>
      <c r="AR3" s="14" t="s">
        <v>150</v>
      </c>
      <c r="AS3" s="14" t="s">
        <v>151</v>
      </c>
      <c r="AT3" s="14" t="s">
        <v>150</v>
      </c>
      <c r="AU3" s="14" t="s">
        <v>152</v>
      </c>
      <c r="AV3" s="16"/>
    </row>
  </sheetData>
  <mergeCells count="4">
    <mergeCell ref="G1:I1"/>
    <mergeCell ref="S1:U1"/>
    <mergeCell ref="AE2:AF2"/>
    <mergeCell ref="AE3:AF3"/>
  </mergeCells>
  <phoneticPr fontId="1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outlinePr summaryBelow="0" summaryRight="0"/>
  </sheetPr>
  <dimension ref="A1:BB2"/>
  <sheetViews>
    <sheetView workbookViewId="0">
      <selection activeCell="R2" sqref="R2"/>
    </sheetView>
  </sheetViews>
  <sheetFormatPr defaultColWidth="12.6328125" defaultRowHeight="15.75" customHeight="1"/>
  <sheetData>
    <row r="1" spans="1:54" ht="15.75" customHeight="1">
      <c r="A1" s="14" t="s">
        <v>155</v>
      </c>
      <c r="B1" s="14" t="s">
        <v>156</v>
      </c>
      <c r="C1" s="14" t="s">
        <v>157</v>
      </c>
      <c r="D1" s="14" t="s">
        <v>125</v>
      </c>
      <c r="E1" s="14" t="s">
        <v>158</v>
      </c>
      <c r="F1" s="14" t="s">
        <v>159</v>
      </c>
      <c r="G1" s="14" t="s">
        <v>160</v>
      </c>
      <c r="H1" s="14" t="s">
        <v>161</v>
      </c>
      <c r="I1" s="14" t="s">
        <v>162</v>
      </c>
      <c r="J1" s="14" t="s">
        <v>163</v>
      </c>
      <c r="K1" s="14" t="s">
        <v>164</v>
      </c>
      <c r="L1" s="14" t="s">
        <v>165</v>
      </c>
      <c r="M1" s="14" t="s">
        <v>166</v>
      </c>
      <c r="N1" s="14" t="s">
        <v>167</v>
      </c>
      <c r="O1" s="14" t="s">
        <v>168</v>
      </c>
      <c r="P1" s="14" t="s">
        <v>169</v>
      </c>
      <c r="Q1" s="14" t="s">
        <v>170</v>
      </c>
      <c r="R1" s="14" t="s">
        <v>171</v>
      </c>
      <c r="S1" s="14" t="s">
        <v>172</v>
      </c>
      <c r="T1" s="14" t="s">
        <v>173</v>
      </c>
      <c r="U1" s="14" t="s">
        <v>174</v>
      </c>
      <c r="V1" s="14" t="s">
        <v>175</v>
      </c>
      <c r="W1" s="14" t="s">
        <v>176</v>
      </c>
      <c r="X1" s="14" t="s">
        <v>177</v>
      </c>
      <c r="Y1" s="14" t="s">
        <v>178</v>
      </c>
      <c r="Z1" s="14" t="s">
        <v>179</v>
      </c>
      <c r="AA1" s="14" t="s">
        <v>180</v>
      </c>
      <c r="AB1" s="14" t="s">
        <v>181</v>
      </c>
      <c r="AC1" s="14" t="s">
        <v>182</v>
      </c>
      <c r="AD1" s="14" t="s">
        <v>183</v>
      </c>
      <c r="AE1" s="14" t="s">
        <v>184</v>
      </c>
      <c r="AF1" s="14" t="s">
        <v>185</v>
      </c>
      <c r="AG1" s="14" t="s">
        <v>186</v>
      </c>
      <c r="AH1" s="14" t="s">
        <v>187</v>
      </c>
      <c r="AI1" s="14" t="s">
        <v>188</v>
      </c>
      <c r="AJ1" s="14" t="s">
        <v>189</v>
      </c>
      <c r="AK1" s="14" t="s">
        <v>190</v>
      </c>
      <c r="AL1" s="14" t="s">
        <v>191</v>
      </c>
      <c r="AM1" s="14" t="s">
        <v>192</v>
      </c>
      <c r="AN1" s="14" t="s">
        <v>193</v>
      </c>
      <c r="AO1" s="14" t="s">
        <v>194</v>
      </c>
      <c r="AP1" s="14" t="s">
        <v>195</v>
      </c>
      <c r="AQ1" s="14" t="s">
        <v>196</v>
      </c>
      <c r="AR1" s="14" t="s">
        <v>197</v>
      </c>
      <c r="AS1" s="14" t="s">
        <v>198</v>
      </c>
      <c r="AT1" s="14" t="s">
        <v>199</v>
      </c>
      <c r="AU1" s="14" t="s">
        <v>200</v>
      </c>
      <c r="AV1" s="14" t="s">
        <v>201</v>
      </c>
      <c r="AW1" s="14" t="s">
        <v>202</v>
      </c>
      <c r="AX1" s="14" t="s">
        <v>203</v>
      </c>
      <c r="AY1" s="14" t="s">
        <v>204</v>
      </c>
      <c r="AZ1" s="14" t="s">
        <v>205</v>
      </c>
      <c r="BA1" s="14" t="s">
        <v>206</v>
      </c>
      <c r="BB1" s="14" t="s">
        <v>207</v>
      </c>
    </row>
    <row r="2" spans="1:54" ht="15.75" customHeight="1">
      <c r="A2" s="15">
        <v>1404</v>
      </c>
      <c r="B2" s="15">
        <v>35306</v>
      </c>
      <c r="C2" s="14" t="s">
        <v>208</v>
      </c>
      <c r="D2" s="14" t="s">
        <v>295</v>
      </c>
      <c r="E2" s="17"/>
      <c r="F2" s="15">
        <v>0</v>
      </c>
      <c r="G2" s="15">
        <v>0</v>
      </c>
      <c r="H2" s="15">
        <v>0</v>
      </c>
      <c r="I2" s="15">
        <v>1</v>
      </c>
      <c r="J2" s="15">
        <v>1</v>
      </c>
      <c r="K2" s="15">
        <v>1</v>
      </c>
      <c r="L2" s="15">
        <v>0</v>
      </c>
      <c r="M2" s="14" t="s">
        <v>209</v>
      </c>
      <c r="N2" s="15">
        <v>180000</v>
      </c>
      <c r="O2" s="18">
        <v>45686</v>
      </c>
      <c r="P2" s="18">
        <v>46023</v>
      </c>
      <c r="Q2" s="18">
        <v>46081</v>
      </c>
      <c r="R2" s="14" t="s">
        <v>210</v>
      </c>
      <c r="S2" s="19">
        <v>0.375</v>
      </c>
      <c r="T2" s="19">
        <v>0.70833333333333337</v>
      </c>
      <c r="U2" s="15">
        <v>60</v>
      </c>
      <c r="V2" s="15">
        <v>0</v>
      </c>
      <c r="W2" s="15">
        <v>7</v>
      </c>
      <c r="X2" s="14" t="s">
        <v>211</v>
      </c>
      <c r="Y2" s="15">
        <v>1850</v>
      </c>
      <c r="Z2" s="15">
        <v>1850</v>
      </c>
      <c r="AA2" s="15">
        <v>2313</v>
      </c>
      <c r="AB2" s="15">
        <v>2775</v>
      </c>
      <c r="AC2" s="15">
        <v>2775</v>
      </c>
      <c r="AD2" s="15">
        <v>2498</v>
      </c>
      <c r="AE2" s="15">
        <v>1850</v>
      </c>
      <c r="AF2" s="15">
        <v>463</v>
      </c>
      <c r="AG2" s="15">
        <v>0</v>
      </c>
      <c r="AH2" s="14" t="s">
        <v>212</v>
      </c>
      <c r="AI2" s="17"/>
      <c r="AJ2" s="14" t="s">
        <v>211</v>
      </c>
      <c r="AK2" s="15">
        <v>1310</v>
      </c>
      <c r="AL2" s="15">
        <v>1310</v>
      </c>
      <c r="AM2" s="15">
        <v>1638</v>
      </c>
      <c r="AN2" s="15">
        <v>1965</v>
      </c>
      <c r="AO2" s="15">
        <v>1965</v>
      </c>
      <c r="AP2" s="15">
        <v>1769</v>
      </c>
      <c r="AQ2" s="15">
        <v>1310</v>
      </c>
      <c r="AR2" s="15">
        <v>328</v>
      </c>
      <c r="AS2" s="15">
        <v>0</v>
      </c>
      <c r="AT2" s="14" t="s">
        <v>213</v>
      </c>
      <c r="AU2" s="15">
        <v>600</v>
      </c>
      <c r="AV2" s="14" t="s">
        <v>214</v>
      </c>
      <c r="AW2" s="14" t="s">
        <v>150</v>
      </c>
      <c r="AX2" s="14" t="s">
        <v>151</v>
      </c>
      <c r="AY2" s="14" t="s">
        <v>150</v>
      </c>
      <c r="AZ2" s="14" t="s">
        <v>152</v>
      </c>
      <c r="BA2" s="15">
        <v>0</v>
      </c>
      <c r="BB2" s="15">
        <v>0</v>
      </c>
    </row>
  </sheetData>
  <phoneticPr fontId="1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outlinePr summaryBelow="0" summaryRight="0"/>
  </sheetPr>
  <dimension ref="A1:AK17"/>
  <sheetViews>
    <sheetView workbookViewId="0">
      <selection activeCell="K22" sqref="K22"/>
    </sheetView>
  </sheetViews>
  <sheetFormatPr defaultColWidth="12.6328125" defaultRowHeight="15.75" customHeight="1"/>
  <cols>
    <col min="4" max="4" width="15.7265625" bestFit="1" customWidth="1"/>
    <col min="5" max="5" width="16.90625" bestFit="1" customWidth="1"/>
    <col min="12" max="12" width="14.54296875" bestFit="1" customWidth="1"/>
    <col min="19" max="19" width="24.6328125" customWidth="1"/>
  </cols>
  <sheetData>
    <row r="1" spans="1:37" ht="15.75" customHeight="1">
      <c r="A1" s="14" t="s">
        <v>155</v>
      </c>
      <c r="B1" s="14" t="s">
        <v>156</v>
      </c>
      <c r="C1" s="14" t="s">
        <v>99</v>
      </c>
      <c r="D1" s="14" t="s">
        <v>215</v>
      </c>
      <c r="E1" s="14" t="s">
        <v>216</v>
      </c>
      <c r="F1" s="14" t="s">
        <v>217</v>
      </c>
      <c r="G1" s="14" t="s">
        <v>218</v>
      </c>
      <c r="H1" s="14" t="s">
        <v>219</v>
      </c>
      <c r="I1" s="14" t="s">
        <v>220</v>
      </c>
      <c r="J1" s="14" t="s">
        <v>221</v>
      </c>
      <c r="K1" s="14" t="s">
        <v>222</v>
      </c>
      <c r="L1" s="14" t="s">
        <v>223</v>
      </c>
      <c r="M1" s="14" t="s">
        <v>224</v>
      </c>
      <c r="N1" s="14" t="s">
        <v>225</v>
      </c>
      <c r="O1" s="14" t="s">
        <v>226</v>
      </c>
      <c r="P1" s="14" t="s">
        <v>227</v>
      </c>
      <c r="Q1" s="14" t="s">
        <v>228</v>
      </c>
      <c r="R1" s="14" t="s">
        <v>229</v>
      </c>
      <c r="S1" s="14" t="s">
        <v>230</v>
      </c>
      <c r="T1" s="14" t="s">
        <v>231</v>
      </c>
      <c r="U1" s="14" t="s">
        <v>232</v>
      </c>
      <c r="V1" s="14" t="s">
        <v>233</v>
      </c>
      <c r="W1" s="14" t="s">
        <v>234</v>
      </c>
      <c r="X1" s="14" t="s">
        <v>235</v>
      </c>
      <c r="Y1" s="14" t="s">
        <v>231</v>
      </c>
      <c r="Z1" s="14" t="s">
        <v>236</v>
      </c>
      <c r="AA1" s="14" t="s">
        <v>237</v>
      </c>
      <c r="AB1" s="14" t="s">
        <v>238</v>
      </c>
      <c r="AC1" s="14" t="s">
        <v>239</v>
      </c>
      <c r="AD1" s="14" t="s">
        <v>66</v>
      </c>
      <c r="AE1" s="14" t="s">
        <v>240</v>
      </c>
      <c r="AF1" s="14" t="s">
        <v>241</v>
      </c>
      <c r="AG1" s="14" t="s">
        <v>242</v>
      </c>
      <c r="AH1" s="14" t="s">
        <v>243</v>
      </c>
      <c r="AI1" s="14" t="s">
        <v>244</v>
      </c>
      <c r="AJ1" s="14" t="s">
        <v>245</v>
      </c>
      <c r="AK1" s="14" t="s">
        <v>246</v>
      </c>
    </row>
    <row r="2" spans="1:37" ht="15.75" customHeight="1">
      <c r="A2" s="15">
        <v>1404</v>
      </c>
      <c r="B2" s="15">
        <v>35306</v>
      </c>
      <c r="C2" s="15">
        <v>303</v>
      </c>
      <c r="D2" s="20">
        <v>46027.375</v>
      </c>
      <c r="E2" s="20">
        <v>46027.708333333336</v>
      </c>
      <c r="F2" s="15">
        <v>60</v>
      </c>
      <c r="G2" s="14" t="s">
        <v>211</v>
      </c>
      <c r="H2" s="14" t="s">
        <v>211</v>
      </c>
      <c r="I2" s="15">
        <v>0</v>
      </c>
      <c r="J2" s="15">
        <v>600</v>
      </c>
      <c r="K2" s="15">
        <v>1</v>
      </c>
      <c r="L2" s="20">
        <v>46058.392361111109</v>
      </c>
      <c r="M2" s="15">
        <v>0</v>
      </c>
      <c r="N2" s="15">
        <v>0</v>
      </c>
      <c r="O2" s="15">
        <v>2</v>
      </c>
      <c r="P2" s="15">
        <v>0</v>
      </c>
      <c r="Q2" s="16"/>
      <c r="R2" s="15">
        <v>0</v>
      </c>
      <c r="S2" s="16"/>
      <c r="T2" s="16"/>
      <c r="U2" s="16"/>
      <c r="V2" s="16"/>
      <c r="W2" s="16"/>
      <c r="X2" s="16"/>
      <c r="Y2" s="16"/>
      <c r="Z2" s="16"/>
      <c r="AA2" s="16"/>
      <c r="AB2" s="16"/>
      <c r="AC2" s="16"/>
      <c r="AD2" s="16"/>
      <c r="AE2" s="16"/>
      <c r="AF2" s="16"/>
      <c r="AG2" s="16"/>
      <c r="AH2" s="16"/>
      <c r="AI2" s="16"/>
      <c r="AJ2" s="16"/>
      <c r="AK2" s="16"/>
    </row>
    <row r="3" spans="1:37" ht="15.75" customHeight="1">
      <c r="A3" s="15">
        <v>1404</v>
      </c>
      <c r="B3" s="15">
        <v>35306</v>
      </c>
      <c r="C3" s="15">
        <v>303</v>
      </c>
      <c r="D3" s="20">
        <v>46028.375</v>
      </c>
      <c r="E3" s="20">
        <v>46028.708333333336</v>
      </c>
      <c r="F3" s="15">
        <v>60</v>
      </c>
      <c r="G3" s="14" t="s">
        <v>211</v>
      </c>
      <c r="H3" s="14" t="s">
        <v>211</v>
      </c>
      <c r="I3" s="15">
        <v>0</v>
      </c>
      <c r="J3" s="15">
        <v>600</v>
      </c>
      <c r="K3" s="15">
        <v>1</v>
      </c>
      <c r="L3" s="20">
        <v>46058.392361111109</v>
      </c>
      <c r="M3" s="15">
        <v>0</v>
      </c>
      <c r="N3" s="15">
        <v>0</v>
      </c>
      <c r="O3" s="15">
        <v>2</v>
      </c>
      <c r="P3" s="15">
        <v>0</v>
      </c>
      <c r="Q3" s="16"/>
      <c r="R3" s="15">
        <v>0</v>
      </c>
      <c r="S3" s="16"/>
      <c r="T3" s="16"/>
      <c r="U3" s="16"/>
      <c r="V3" s="16"/>
      <c r="W3" s="16"/>
      <c r="X3" s="16"/>
      <c r="Y3" s="16"/>
      <c r="Z3" s="16"/>
      <c r="AA3" s="16"/>
      <c r="AB3" s="16"/>
      <c r="AC3" s="16"/>
      <c r="AD3" s="16"/>
      <c r="AE3" s="16"/>
      <c r="AF3" s="16"/>
      <c r="AG3" s="16"/>
      <c r="AH3" s="16"/>
      <c r="AI3" s="16"/>
      <c r="AJ3" s="16"/>
      <c r="AK3" s="16"/>
    </row>
    <row r="4" spans="1:37" ht="15.75" customHeight="1">
      <c r="A4" s="15">
        <v>1404</v>
      </c>
      <c r="B4" s="15">
        <v>35306</v>
      </c>
      <c r="C4" s="15">
        <v>303</v>
      </c>
      <c r="D4" s="20">
        <v>46029.375</v>
      </c>
      <c r="E4" s="20">
        <v>46029.708333333336</v>
      </c>
      <c r="F4" s="15">
        <v>60</v>
      </c>
      <c r="G4" s="14" t="s">
        <v>211</v>
      </c>
      <c r="H4" s="14" t="s">
        <v>211</v>
      </c>
      <c r="I4" s="15">
        <v>0</v>
      </c>
      <c r="J4" s="15">
        <v>600</v>
      </c>
      <c r="K4" s="15">
        <v>1</v>
      </c>
      <c r="L4" s="20">
        <v>46058.392361111109</v>
      </c>
      <c r="M4" s="15">
        <v>0</v>
      </c>
      <c r="N4" s="15">
        <v>0</v>
      </c>
      <c r="O4" s="15">
        <v>2</v>
      </c>
      <c r="P4" s="15">
        <v>0</v>
      </c>
      <c r="Q4" s="16"/>
      <c r="R4" s="15">
        <v>0</v>
      </c>
      <c r="S4" s="16"/>
      <c r="T4" s="16"/>
      <c r="U4" s="16"/>
      <c r="V4" s="16"/>
      <c r="W4" s="16"/>
      <c r="X4" s="16"/>
      <c r="Y4" s="16"/>
      <c r="Z4" s="16"/>
      <c r="AA4" s="16"/>
      <c r="AB4" s="16"/>
      <c r="AC4" s="16"/>
      <c r="AD4" s="16"/>
      <c r="AE4" s="16"/>
      <c r="AF4" s="16"/>
      <c r="AG4" s="16"/>
      <c r="AH4" s="16"/>
      <c r="AI4" s="16"/>
      <c r="AJ4" s="16"/>
      <c r="AK4" s="16"/>
    </row>
    <row r="5" spans="1:37" ht="15.75" customHeight="1">
      <c r="A5" s="15">
        <v>1404</v>
      </c>
      <c r="B5" s="15">
        <v>35306</v>
      </c>
      <c r="C5" s="15">
        <v>303</v>
      </c>
      <c r="D5" s="20">
        <v>46030.375</v>
      </c>
      <c r="E5" s="20">
        <v>46030.708333333336</v>
      </c>
      <c r="F5" s="15">
        <v>60</v>
      </c>
      <c r="G5" s="14" t="s">
        <v>211</v>
      </c>
      <c r="H5" s="14" t="s">
        <v>211</v>
      </c>
      <c r="I5" s="15">
        <v>0</v>
      </c>
      <c r="J5" s="15">
        <v>600</v>
      </c>
      <c r="K5" s="15">
        <v>1</v>
      </c>
      <c r="L5" s="20">
        <v>46058.392361111109</v>
      </c>
      <c r="M5" s="15">
        <v>0</v>
      </c>
      <c r="N5" s="15">
        <v>0</v>
      </c>
      <c r="O5" s="15">
        <v>2</v>
      </c>
      <c r="P5" s="15">
        <v>0</v>
      </c>
      <c r="Q5" s="16"/>
      <c r="R5" s="15">
        <v>0</v>
      </c>
      <c r="S5" s="16"/>
      <c r="T5" s="16"/>
      <c r="U5" s="16"/>
      <c r="V5" s="16"/>
      <c r="W5" s="16"/>
      <c r="X5" s="16"/>
      <c r="Y5" s="16"/>
      <c r="Z5" s="16"/>
      <c r="AA5" s="16"/>
      <c r="AB5" s="16"/>
      <c r="AC5" s="16"/>
      <c r="AD5" s="16"/>
      <c r="AE5" s="16"/>
      <c r="AF5" s="16"/>
      <c r="AG5" s="16"/>
      <c r="AH5" s="16"/>
      <c r="AI5" s="16"/>
      <c r="AJ5" s="16"/>
      <c r="AK5" s="16"/>
    </row>
    <row r="6" spans="1:37" ht="15.75" customHeight="1">
      <c r="A6" s="15">
        <v>1404</v>
      </c>
      <c r="B6" s="15">
        <v>35306</v>
      </c>
      <c r="C6" s="15">
        <v>303</v>
      </c>
      <c r="D6" s="20">
        <v>46035.375</v>
      </c>
      <c r="E6" s="20">
        <v>46035.708333333336</v>
      </c>
      <c r="F6" s="15">
        <v>60</v>
      </c>
      <c r="G6" s="14" t="s">
        <v>211</v>
      </c>
      <c r="H6" s="14" t="s">
        <v>211</v>
      </c>
      <c r="I6" s="15">
        <v>0</v>
      </c>
      <c r="J6" s="15">
        <v>600</v>
      </c>
      <c r="K6" s="15">
        <v>1</v>
      </c>
      <c r="L6" s="20">
        <v>46058.392361111109</v>
      </c>
      <c r="M6" s="15">
        <v>0</v>
      </c>
      <c r="N6" s="15">
        <v>0</v>
      </c>
      <c r="O6" s="15">
        <v>2</v>
      </c>
      <c r="P6" s="15">
        <v>0</v>
      </c>
      <c r="Q6" s="16"/>
      <c r="R6" s="15">
        <v>0</v>
      </c>
      <c r="S6" s="16"/>
      <c r="T6" s="16"/>
      <c r="U6" s="16"/>
      <c r="V6" s="16"/>
      <c r="W6" s="16"/>
      <c r="X6" s="16"/>
      <c r="Y6" s="16"/>
      <c r="Z6" s="16"/>
      <c r="AA6" s="16"/>
      <c r="AB6" s="16"/>
      <c r="AC6" s="16"/>
      <c r="AD6" s="16"/>
      <c r="AE6" s="16"/>
      <c r="AF6" s="16"/>
      <c r="AG6" s="16"/>
      <c r="AH6" s="16"/>
      <c r="AI6" s="16"/>
      <c r="AJ6" s="16"/>
      <c r="AK6" s="16"/>
    </row>
    <row r="7" spans="1:37" ht="15.75" customHeight="1">
      <c r="A7" s="15">
        <v>1404</v>
      </c>
      <c r="B7" s="15">
        <v>35306</v>
      </c>
      <c r="C7" s="15">
        <v>303</v>
      </c>
      <c r="D7" s="20">
        <v>46037.375</v>
      </c>
      <c r="E7" s="20">
        <v>46037.708333333336</v>
      </c>
      <c r="F7" s="15">
        <v>60</v>
      </c>
      <c r="G7" s="14" t="s">
        <v>211</v>
      </c>
      <c r="H7" s="14" t="s">
        <v>211</v>
      </c>
      <c r="I7" s="15">
        <v>0</v>
      </c>
      <c r="J7" s="15">
        <v>600</v>
      </c>
      <c r="K7" s="15">
        <v>1</v>
      </c>
      <c r="L7" s="20">
        <v>46058.392361111109</v>
      </c>
      <c r="M7" s="15">
        <v>0</v>
      </c>
      <c r="N7" s="15">
        <v>0</v>
      </c>
      <c r="O7" s="15">
        <v>2</v>
      </c>
      <c r="P7" s="15">
        <v>0</v>
      </c>
      <c r="Q7" s="16"/>
      <c r="R7" s="15">
        <v>0</v>
      </c>
      <c r="S7" s="16"/>
      <c r="T7" s="16"/>
      <c r="U7" s="16"/>
      <c r="V7" s="16"/>
      <c r="W7" s="16"/>
      <c r="X7" s="16"/>
      <c r="Y7" s="16"/>
      <c r="Z7" s="16"/>
      <c r="AA7" s="16"/>
      <c r="AB7" s="16"/>
      <c r="AC7" s="16"/>
      <c r="AD7" s="16"/>
      <c r="AE7" s="16"/>
      <c r="AF7" s="16"/>
      <c r="AG7" s="16"/>
      <c r="AH7" s="16"/>
      <c r="AI7" s="16"/>
      <c r="AJ7" s="16"/>
      <c r="AK7" s="16"/>
    </row>
    <row r="8" spans="1:37" ht="15.75" customHeight="1">
      <c r="A8" s="15">
        <v>1404</v>
      </c>
      <c r="B8" s="15">
        <v>35306</v>
      </c>
      <c r="C8" s="15">
        <v>303</v>
      </c>
      <c r="D8" s="20">
        <v>46038.375</v>
      </c>
      <c r="E8" s="20">
        <v>46038.755555555559</v>
      </c>
      <c r="F8" s="15">
        <v>60</v>
      </c>
      <c r="G8" s="14" t="s">
        <v>211</v>
      </c>
      <c r="H8" s="14" t="s">
        <v>211</v>
      </c>
      <c r="I8" s="15">
        <v>0</v>
      </c>
      <c r="J8" s="15">
        <v>600</v>
      </c>
      <c r="K8" s="15">
        <v>1</v>
      </c>
      <c r="L8" s="20">
        <v>46058.392361111109</v>
      </c>
      <c r="M8" s="15">
        <v>0</v>
      </c>
      <c r="N8" s="15">
        <v>0</v>
      </c>
      <c r="O8" s="15">
        <v>2</v>
      </c>
      <c r="P8" s="15">
        <v>0</v>
      </c>
      <c r="Q8" s="16"/>
      <c r="R8" s="15">
        <v>0</v>
      </c>
      <c r="S8" s="16"/>
      <c r="T8" s="16"/>
      <c r="U8" s="16"/>
      <c r="V8" s="16"/>
      <c r="W8" s="16"/>
      <c r="X8" s="16"/>
      <c r="Y8" s="16"/>
      <c r="Z8" s="16"/>
      <c r="AA8" s="16"/>
      <c r="AB8" s="16"/>
      <c r="AC8" s="16"/>
      <c r="AD8" s="16"/>
      <c r="AE8" s="16"/>
      <c r="AF8" s="16"/>
      <c r="AG8" s="16"/>
      <c r="AH8" s="16"/>
      <c r="AI8" s="16"/>
      <c r="AJ8" s="16"/>
      <c r="AK8" s="16"/>
    </row>
    <row r="9" spans="1:37" ht="15.75" customHeight="1">
      <c r="A9" s="15">
        <v>1404</v>
      </c>
      <c r="B9" s="15">
        <v>35306</v>
      </c>
      <c r="C9" s="15">
        <v>303</v>
      </c>
      <c r="D9" s="20">
        <v>46041.375</v>
      </c>
      <c r="E9" s="20">
        <v>46041.708333333336</v>
      </c>
      <c r="F9" s="15">
        <v>60</v>
      </c>
      <c r="G9" s="14" t="s">
        <v>211</v>
      </c>
      <c r="H9" s="14" t="s">
        <v>211</v>
      </c>
      <c r="I9" s="15">
        <v>0</v>
      </c>
      <c r="J9" s="15">
        <v>600</v>
      </c>
      <c r="K9" s="15">
        <v>1</v>
      </c>
      <c r="L9" s="20">
        <v>46058.392361111109</v>
      </c>
      <c r="M9" s="15">
        <v>0</v>
      </c>
      <c r="N9" s="15">
        <v>0</v>
      </c>
      <c r="O9" s="15">
        <v>2</v>
      </c>
      <c r="P9" s="15">
        <v>0</v>
      </c>
      <c r="Q9" s="16"/>
      <c r="R9" s="15">
        <v>0</v>
      </c>
      <c r="S9" s="16"/>
      <c r="T9" s="16"/>
      <c r="U9" s="16"/>
      <c r="V9" s="16"/>
      <c r="W9" s="16"/>
      <c r="X9" s="16"/>
      <c r="Y9" s="16"/>
      <c r="Z9" s="16"/>
      <c r="AA9" s="16"/>
      <c r="AB9" s="16"/>
      <c r="AC9" s="16"/>
      <c r="AD9" s="16"/>
      <c r="AE9" s="16"/>
      <c r="AF9" s="16"/>
      <c r="AG9" s="16"/>
      <c r="AH9" s="16"/>
      <c r="AI9" s="16"/>
      <c r="AJ9" s="16"/>
      <c r="AK9" s="16"/>
    </row>
    <row r="10" spans="1:37" ht="15.75" customHeight="1">
      <c r="A10" s="15">
        <v>1404</v>
      </c>
      <c r="B10" s="15">
        <v>35306</v>
      </c>
      <c r="C10" s="15">
        <v>303</v>
      </c>
      <c r="D10" s="20">
        <v>46042.375</v>
      </c>
      <c r="E10" s="20">
        <v>46042.708333333336</v>
      </c>
      <c r="F10" s="15">
        <v>60</v>
      </c>
      <c r="G10" s="14" t="s">
        <v>211</v>
      </c>
      <c r="H10" s="14" t="s">
        <v>211</v>
      </c>
      <c r="I10" s="15">
        <v>0</v>
      </c>
      <c r="J10" s="15">
        <v>600</v>
      </c>
      <c r="K10" s="15">
        <v>1</v>
      </c>
      <c r="L10" s="20">
        <v>46058.392361111109</v>
      </c>
      <c r="M10" s="15">
        <v>0</v>
      </c>
      <c r="N10" s="15">
        <v>0</v>
      </c>
      <c r="O10" s="15">
        <v>2</v>
      </c>
      <c r="P10" s="15">
        <v>0</v>
      </c>
      <c r="Q10" s="16"/>
      <c r="R10" s="15">
        <v>0</v>
      </c>
      <c r="S10" s="16"/>
      <c r="T10" s="16"/>
      <c r="U10" s="16"/>
      <c r="V10" s="16"/>
      <c r="W10" s="16"/>
      <c r="X10" s="16"/>
      <c r="Y10" s="16"/>
      <c r="Z10" s="16"/>
      <c r="AA10" s="16"/>
      <c r="AB10" s="16"/>
      <c r="AC10" s="16"/>
      <c r="AD10" s="16"/>
      <c r="AE10" s="16"/>
      <c r="AF10" s="16"/>
      <c r="AG10" s="16"/>
      <c r="AH10" s="16"/>
      <c r="AI10" s="16"/>
      <c r="AJ10" s="16"/>
      <c r="AK10" s="16"/>
    </row>
    <row r="11" spans="1:37" ht="15.75" customHeight="1">
      <c r="A11" s="15">
        <v>1404</v>
      </c>
      <c r="B11" s="15">
        <v>35306</v>
      </c>
      <c r="C11" s="15">
        <v>303</v>
      </c>
      <c r="D11" s="20">
        <v>46043.375</v>
      </c>
      <c r="E11" s="20">
        <v>46043.708333333336</v>
      </c>
      <c r="F11" s="15">
        <v>60</v>
      </c>
      <c r="G11" s="14" t="s">
        <v>211</v>
      </c>
      <c r="H11" s="14" t="s">
        <v>211</v>
      </c>
      <c r="I11" s="15">
        <v>0</v>
      </c>
      <c r="J11" s="15">
        <v>600</v>
      </c>
      <c r="K11" s="15">
        <v>1</v>
      </c>
      <c r="L11" s="20">
        <v>46058.392361111109</v>
      </c>
      <c r="M11" s="15">
        <v>0</v>
      </c>
      <c r="N11" s="15">
        <v>0</v>
      </c>
      <c r="O11" s="15">
        <v>2</v>
      </c>
      <c r="P11" s="15">
        <v>0</v>
      </c>
      <c r="Q11" s="16"/>
      <c r="R11" s="15">
        <v>0</v>
      </c>
      <c r="S11" s="16"/>
      <c r="T11" s="16"/>
      <c r="U11" s="16"/>
      <c r="V11" s="16"/>
      <c r="W11" s="16"/>
      <c r="X11" s="16"/>
      <c r="Y11" s="16"/>
      <c r="Z11" s="16"/>
      <c r="AA11" s="16"/>
      <c r="AB11" s="16"/>
      <c r="AC11" s="16"/>
      <c r="AD11" s="16"/>
      <c r="AE11" s="16"/>
      <c r="AF11" s="16"/>
      <c r="AG11" s="16"/>
      <c r="AH11" s="16"/>
      <c r="AI11" s="16"/>
      <c r="AJ11" s="16"/>
      <c r="AK11" s="16"/>
    </row>
    <row r="12" spans="1:37" ht="15.75" customHeight="1">
      <c r="A12" s="15">
        <v>1404</v>
      </c>
      <c r="B12" s="15">
        <v>35306</v>
      </c>
      <c r="C12" s="15">
        <v>303</v>
      </c>
      <c r="D12" s="20">
        <v>46044.375</v>
      </c>
      <c r="E12" s="20">
        <v>46044.708333333336</v>
      </c>
      <c r="F12" s="15">
        <v>60</v>
      </c>
      <c r="G12" s="14" t="s">
        <v>211</v>
      </c>
      <c r="H12" s="14" t="s">
        <v>211</v>
      </c>
      <c r="I12" s="15">
        <v>0</v>
      </c>
      <c r="J12" s="15">
        <v>600</v>
      </c>
      <c r="K12" s="15">
        <v>1</v>
      </c>
      <c r="L12" s="20">
        <v>46058.392361111109</v>
      </c>
      <c r="M12" s="15">
        <v>0</v>
      </c>
      <c r="N12" s="15">
        <v>0</v>
      </c>
      <c r="O12" s="15">
        <v>2</v>
      </c>
      <c r="P12" s="15">
        <v>0</v>
      </c>
      <c r="Q12" s="16"/>
      <c r="R12" s="15">
        <v>0</v>
      </c>
      <c r="S12" s="16"/>
      <c r="T12" s="16"/>
      <c r="U12" s="16"/>
      <c r="V12" s="16"/>
      <c r="W12" s="16"/>
      <c r="X12" s="16"/>
      <c r="Y12" s="16"/>
      <c r="Z12" s="16"/>
      <c r="AA12" s="16"/>
      <c r="AB12" s="16"/>
      <c r="AC12" s="16"/>
      <c r="AD12" s="16"/>
      <c r="AE12" s="16"/>
      <c r="AF12" s="16"/>
      <c r="AG12" s="16"/>
      <c r="AH12" s="16"/>
      <c r="AI12" s="16"/>
      <c r="AJ12" s="16"/>
      <c r="AK12" s="16"/>
    </row>
    <row r="13" spans="1:37" ht="15.75" customHeight="1">
      <c r="A13" s="15">
        <v>1404</v>
      </c>
      <c r="B13" s="15">
        <v>35306</v>
      </c>
      <c r="C13" s="15">
        <v>303</v>
      </c>
      <c r="D13" s="20">
        <v>46045.375</v>
      </c>
      <c r="E13" s="20">
        <v>46045.708333333336</v>
      </c>
      <c r="F13" s="15">
        <v>60</v>
      </c>
      <c r="G13" s="14" t="s">
        <v>211</v>
      </c>
      <c r="H13" s="14" t="s">
        <v>211</v>
      </c>
      <c r="I13" s="15">
        <v>0</v>
      </c>
      <c r="J13" s="15">
        <v>600</v>
      </c>
      <c r="K13" s="15">
        <v>1</v>
      </c>
      <c r="L13" s="20">
        <v>46058.392361111109</v>
      </c>
      <c r="M13" s="15">
        <v>0</v>
      </c>
      <c r="N13" s="15">
        <v>0</v>
      </c>
      <c r="O13" s="15">
        <v>2</v>
      </c>
      <c r="P13" s="15">
        <v>0</v>
      </c>
      <c r="Q13" s="16"/>
      <c r="R13" s="15">
        <v>0</v>
      </c>
      <c r="S13" s="16"/>
      <c r="T13" s="16"/>
      <c r="U13" s="16"/>
      <c r="V13" s="16"/>
      <c r="W13" s="16"/>
      <c r="X13" s="16"/>
      <c r="Y13" s="16"/>
      <c r="Z13" s="16"/>
      <c r="AA13" s="16"/>
      <c r="AB13" s="16"/>
      <c r="AC13" s="16"/>
      <c r="AD13" s="16"/>
      <c r="AE13" s="16"/>
      <c r="AF13" s="16"/>
      <c r="AG13" s="16"/>
      <c r="AH13" s="16"/>
      <c r="AI13" s="16"/>
      <c r="AJ13" s="16"/>
      <c r="AK13" s="16"/>
    </row>
    <row r="14" spans="1:37" ht="15.75" customHeight="1">
      <c r="A14" s="15">
        <v>1404</v>
      </c>
      <c r="B14" s="15">
        <v>35306</v>
      </c>
      <c r="C14" s="15">
        <v>303</v>
      </c>
      <c r="D14" s="20">
        <v>46049.375</v>
      </c>
      <c r="E14" s="20">
        <v>46049.708333333336</v>
      </c>
      <c r="F14" s="15">
        <v>60</v>
      </c>
      <c r="G14" s="14" t="s">
        <v>211</v>
      </c>
      <c r="H14" s="14" t="s">
        <v>211</v>
      </c>
      <c r="I14" s="15">
        <v>0</v>
      </c>
      <c r="J14" s="15">
        <v>600</v>
      </c>
      <c r="K14" s="15">
        <v>1</v>
      </c>
      <c r="L14" s="20">
        <v>46058.392361111109</v>
      </c>
      <c r="M14" s="15">
        <v>0</v>
      </c>
      <c r="N14" s="15">
        <v>0</v>
      </c>
      <c r="O14" s="15">
        <v>2</v>
      </c>
      <c r="P14" s="15">
        <v>0</v>
      </c>
      <c r="Q14" s="16"/>
      <c r="R14" s="15">
        <v>0</v>
      </c>
      <c r="S14" s="16"/>
      <c r="T14" s="16"/>
      <c r="U14" s="16"/>
      <c r="V14" s="16"/>
      <c r="W14" s="16"/>
      <c r="X14" s="16"/>
      <c r="Y14" s="16"/>
      <c r="Z14" s="16"/>
      <c r="AA14" s="16"/>
      <c r="AB14" s="16"/>
      <c r="AC14" s="16"/>
      <c r="AD14" s="16"/>
      <c r="AE14" s="16"/>
      <c r="AF14" s="16"/>
      <c r="AG14" s="16"/>
      <c r="AH14" s="16"/>
      <c r="AI14" s="16"/>
      <c r="AJ14" s="16"/>
      <c r="AK14" s="16"/>
    </row>
    <row r="15" spans="1:37" ht="15.75" customHeight="1">
      <c r="A15" s="15">
        <v>1404</v>
      </c>
      <c r="B15" s="15">
        <v>35306</v>
      </c>
      <c r="C15" s="15">
        <v>303</v>
      </c>
      <c r="D15" s="20">
        <v>46050.375</v>
      </c>
      <c r="E15" s="20">
        <v>46050.708333333336</v>
      </c>
      <c r="F15" s="15">
        <v>60</v>
      </c>
      <c r="G15" s="14" t="s">
        <v>211</v>
      </c>
      <c r="H15" s="14" t="s">
        <v>211</v>
      </c>
      <c r="I15" s="15">
        <v>0</v>
      </c>
      <c r="J15" s="15">
        <v>600</v>
      </c>
      <c r="K15" s="15">
        <v>1</v>
      </c>
      <c r="L15" s="20">
        <v>46058.392361111109</v>
      </c>
      <c r="M15" s="15">
        <v>0</v>
      </c>
      <c r="N15" s="15">
        <v>0</v>
      </c>
      <c r="O15" s="15">
        <v>2</v>
      </c>
      <c r="P15" s="15">
        <v>0</v>
      </c>
      <c r="Q15" s="16"/>
      <c r="R15" s="15">
        <v>0</v>
      </c>
      <c r="S15" s="16"/>
      <c r="T15" s="16"/>
      <c r="U15" s="16"/>
      <c r="V15" s="16"/>
      <c r="W15" s="16"/>
      <c r="X15" s="16"/>
      <c r="Y15" s="16"/>
      <c r="Z15" s="16"/>
      <c r="AA15" s="16"/>
      <c r="AB15" s="16"/>
      <c r="AC15" s="16"/>
      <c r="AD15" s="16"/>
      <c r="AE15" s="16"/>
      <c r="AF15" s="16"/>
      <c r="AG15" s="16"/>
      <c r="AH15" s="16"/>
      <c r="AI15" s="16"/>
      <c r="AJ15" s="16"/>
      <c r="AK15" s="16"/>
    </row>
    <row r="16" spans="1:37" ht="15.75" customHeight="1">
      <c r="A16" s="15">
        <v>1404</v>
      </c>
      <c r="B16" s="15">
        <v>35306</v>
      </c>
      <c r="C16" s="15">
        <v>303</v>
      </c>
      <c r="D16" s="20">
        <v>46051.375</v>
      </c>
      <c r="E16" s="20">
        <v>46051.708333333336</v>
      </c>
      <c r="F16" s="15">
        <v>60</v>
      </c>
      <c r="G16" s="14" t="s">
        <v>211</v>
      </c>
      <c r="H16" s="14" t="s">
        <v>211</v>
      </c>
      <c r="I16" s="15">
        <v>0</v>
      </c>
      <c r="J16" s="15">
        <v>600</v>
      </c>
      <c r="K16" s="15">
        <v>1</v>
      </c>
      <c r="L16" s="20">
        <v>46058.392361111109</v>
      </c>
      <c r="M16" s="15">
        <v>0</v>
      </c>
      <c r="N16" s="15">
        <v>0</v>
      </c>
      <c r="O16" s="15">
        <v>2</v>
      </c>
      <c r="P16" s="15">
        <v>0</v>
      </c>
      <c r="Q16" s="16"/>
      <c r="R16" s="15">
        <v>0</v>
      </c>
      <c r="S16" s="16"/>
      <c r="T16" s="16"/>
      <c r="U16" s="16"/>
      <c r="V16" s="16"/>
      <c r="W16" s="16"/>
      <c r="X16" s="16"/>
      <c r="Y16" s="16"/>
      <c r="Z16" s="16"/>
      <c r="AA16" s="16"/>
      <c r="AB16" s="16"/>
      <c r="AC16" s="16"/>
      <c r="AD16" s="16"/>
      <c r="AE16" s="16"/>
      <c r="AF16" s="16"/>
      <c r="AG16" s="16"/>
      <c r="AH16" s="16"/>
      <c r="AI16" s="16"/>
      <c r="AJ16" s="16"/>
      <c r="AK16" s="16"/>
    </row>
    <row r="17" spans="1:37" ht="15.75" customHeight="1">
      <c r="A17" s="15">
        <v>1404</v>
      </c>
      <c r="B17" s="15">
        <v>35306</v>
      </c>
      <c r="C17" s="15">
        <v>303</v>
      </c>
      <c r="D17" s="20">
        <v>46052.375</v>
      </c>
      <c r="E17" s="20">
        <v>46052.708333333336</v>
      </c>
      <c r="F17" s="15">
        <v>60</v>
      </c>
      <c r="G17" s="14" t="s">
        <v>211</v>
      </c>
      <c r="H17" s="14" t="s">
        <v>211</v>
      </c>
      <c r="I17" s="15">
        <v>0</v>
      </c>
      <c r="J17" s="15">
        <v>600</v>
      </c>
      <c r="K17" s="15">
        <v>1</v>
      </c>
      <c r="L17" s="20">
        <v>46058.392361111109</v>
      </c>
      <c r="M17" s="15">
        <v>0</v>
      </c>
      <c r="N17" s="15">
        <v>0</v>
      </c>
      <c r="O17" s="15">
        <v>2</v>
      </c>
      <c r="P17" s="15">
        <v>0</v>
      </c>
      <c r="Q17" s="16"/>
      <c r="R17" s="15">
        <v>0</v>
      </c>
      <c r="S17" s="16"/>
      <c r="T17" s="16"/>
      <c r="U17" s="16"/>
      <c r="V17" s="16"/>
      <c r="W17" s="16"/>
      <c r="X17" s="16"/>
      <c r="Y17" s="16"/>
      <c r="Z17" s="16"/>
      <c r="AA17" s="16"/>
      <c r="AB17" s="16"/>
      <c r="AC17" s="16"/>
      <c r="AD17" s="16"/>
      <c r="AE17" s="16"/>
      <c r="AF17" s="16"/>
      <c r="AG17" s="16"/>
      <c r="AH17" s="16"/>
      <c r="AI17" s="16"/>
      <c r="AJ17" s="16"/>
      <c r="AK17" s="16"/>
    </row>
  </sheetData>
  <phoneticPr fontId="1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00"/>
    <outlinePr summaryBelow="0" summaryRight="0"/>
  </sheetPr>
  <dimension ref="A1:BB4"/>
  <sheetViews>
    <sheetView workbookViewId="0">
      <selection activeCell="J1" sqref="J1:K1"/>
    </sheetView>
  </sheetViews>
  <sheetFormatPr defaultColWidth="12.6328125" defaultRowHeight="15.75" customHeight="1"/>
  <cols>
    <col min="4" max="4" width="33.1796875" bestFit="1" customWidth="1"/>
    <col min="18" max="18" width="19.6328125" customWidth="1"/>
  </cols>
  <sheetData>
    <row r="1" spans="1:54" ht="15.75" customHeight="1">
      <c r="A1" s="14" t="s">
        <v>155</v>
      </c>
      <c r="B1" s="14" t="s">
        <v>156</v>
      </c>
      <c r="C1" s="14" t="s">
        <v>157</v>
      </c>
      <c r="D1" s="14" t="s">
        <v>125</v>
      </c>
      <c r="E1" s="14" t="s">
        <v>158</v>
      </c>
      <c r="F1" s="14" t="s">
        <v>159</v>
      </c>
      <c r="G1" s="14" t="s">
        <v>160</v>
      </c>
      <c r="H1" s="14" t="s">
        <v>161</v>
      </c>
      <c r="I1" s="14" t="s">
        <v>162</v>
      </c>
      <c r="J1" s="14" t="s">
        <v>163</v>
      </c>
      <c r="K1" s="14" t="s">
        <v>164</v>
      </c>
      <c r="L1" s="14" t="s">
        <v>165</v>
      </c>
      <c r="M1" s="14" t="s">
        <v>166</v>
      </c>
      <c r="N1" s="14" t="s">
        <v>167</v>
      </c>
      <c r="O1" s="14" t="s">
        <v>168</v>
      </c>
      <c r="P1" s="14" t="s">
        <v>169</v>
      </c>
      <c r="Q1" s="14" t="s">
        <v>170</v>
      </c>
      <c r="R1" s="14" t="s">
        <v>171</v>
      </c>
      <c r="S1" s="14" t="s">
        <v>172</v>
      </c>
      <c r="T1" s="14" t="s">
        <v>173</v>
      </c>
      <c r="U1" s="14" t="s">
        <v>174</v>
      </c>
      <c r="V1" s="14" t="s">
        <v>175</v>
      </c>
      <c r="W1" s="14" t="s">
        <v>176</v>
      </c>
      <c r="X1" s="14" t="s">
        <v>177</v>
      </c>
      <c r="Y1" s="14" t="s">
        <v>178</v>
      </c>
      <c r="Z1" s="14" t="s">
        <v>179</v>
      </c>
      <c r="AA1" s="14" t="s">
        <v>302</v>
      </c>
      <c r="AB1" s="14" t="s">
        <v>181</v>
      </c>
      <c r="AC1" s="14" t="s">
        <v>182</v>
      </c>
      <c r="AD1" s="14" t="s">
        <v>183</v>
      </c>
      <c r="AE1" s="14" t="s">
        <v>184</v>
      </c>
      <c r="AF1" s="14" t="s">
        <v>185</v>
      </c>
      <c r="AG1" s="14" t="s">
        <v>186</v>
      </c>
      <c r="AH1" s="14" t="s">
        <v>187</v>
      </c>
      <c r="AI1" s="14" t="s">
        <v>188</v>
      </c>
      <c r="AJ1" s="14" t="s">
        <v>189</v>
      </c>
      <c r="AK1" s="14" t="s">
        <v>190</v>
      </c>
      <c r="AL1" s="14" t="s">
        <v>191</v>
      </c>
      <c r="AM1" s="14" t="s">
        <v>192</v>
      </c>
      <c r="AN1" s="14" t="s">
        <v>301</v>
      </c>
      <c r="AO1" s="14" t="s">
        <v>194</v>
      </c>
      <c r="AP1" s="14" t="s">
        <v>195</v>
      </c>
      <c r="AQ1" s="14" t="s">
        <v>196</v>
      </c>
      <c r="AR1" s="14" t="s">
        <v>197</v>
      </c>
      <c r="AS1" s="14" t="s">
        <v>198</v>
      </c>
      <c r="AT1" s="14" t="s">
        <v>199</v>
      </c>
      <c r="AU1" s="14" t="s">
        <v>200</v>
      </c>
      <c r="AV1" s="14" t="s">
        <v>201</v>
      </c>
      <c r="AW1" s="14" t="s">
        <v>202</v>
      </c>
      <c r="AX1" s="14" t="s">
        <v>203</v>
      </c>
      <c r="AY1" s="14" t="s">
        <v>204</v>
      </c>
      <c r="AZ1" s="14" t="s">
        <v>205</v>
      </c>
      <c r="BA1" s="14" t="s">
        <v>206</v>
      </c>
      <c r="BB1" s="14" t="s">
        <v>207</v>
      </c>
    </row>
    <row r="2" spans="1:54" ht="15.75" customHeight="1">
      <c r="A2" s="15">
        <v>1424</v>
      </c>
      <c r="B2" s="15">
        <v>34493</v>
      </c>
      <c r="C2" s="14" t="s">
        <v>208</v>
      </c>
      <c r="D2" s="14" t="s">
        <v>296</v>
      </c>
      <c r="E2" s="17"/>
      <c r="F2" s="15">
        <v>0</v>
      </c>
      <c r="G2" s="15">
        <v>0</v>
      </c>
      <c r="H2" s="15">
        <v>0</v>
      </c>
      <c r="I2" s="15">
        <v>1</v>
      </c>
      <c r="J2" s="15">
        <v>1</v>
      </c>
      <c r="K2" s="15">
        <v>1</v>
      </c>
      <c r="L2" s="15">
        <v>1</v>
      </c>
      <c r="M2" s="14" t="s">
        <v>209</v>
      </c>
      <c r="N2" s="15">
        <v>200000</v>
      </c>
      <c r="O2" s="18">
        <v>45313</v>
      </c>
      <c r="P2" s="18">
        <v>46023</v>
      </c>
      <c r="Q2" s="18">
        <v>46081</v>
      </c>
      <c r="R2" s="14" t="s">
        <v>247</v>
      </c>
      <c r="S2" s="19">
        <v>0.35416666666666669</v>
      </c>
      <c r="T2" s="19">
        <v>0.72916666666666663</v>
      </c>
      <c r="U2" s="15">
        <v>60</v>
      </c>
      <c r="V2" s="15">
        <v>0</v>
      </c>
      <c r="W2" s="15">
        <v>8</v>
      </c>
      <c r="X2" s="14" t="s">
        <v>211</v>
      </c>
      <c r="Y2" s="15">
        <v>1900</v>
      </c>
      <c r="Z2" s="15">
        <v>1900</v>
      </c>
      <c r="AA2" s="15">
        <v>2375</v>
      </c>
      <c r="AB2" s="15">
        <v>2850</v>
      </c>
      <c r="AC2" s="15">
        <v>2850</v>
      </c>
      <c r="AD2" s="15">
        <v>2565</v>
      </c>
      <c r="AE2" s="15">
        <v>1900</v>
      </c>
      <c r="AF2" s="15">
        <v>475</v>
      </c>
      <c r="AG2" s="15">
        <v>0</v>
      </c>
      <c r="AH2" s="14" t="s">
        <v>212</v>
      </c>
      <c r="AI2" s="17"/>
      <c r="AJ2" s="14" t="s">
        <v>211</v>
      </c>
      <c r="AK2" s="15">
        <v>1350</v>
      </c>
      <c r="AL2" s="15">
        <v>1350</v>
      </c>
      <c r="AM2" s="15">
        <v>1688</v>
      </c>
      <c r="AN2" s="15">
        <v>2025</v>
      </c>
      <c r="AO2" s="15">
        <v>2025</v>
      </c>
      <c r="AP2" s="15">
        <v>1823</v>
      </c>
      <c r="AQ2" s="15">
        <v>1350</v>
      </c>
      <c r="AR2" s="15">
        <v>338</v>
      </c>
      <c r="AS2" s="15">
        <v>0</v>
      </c>
      <c r="AT2" s="14" t="s">
        <v>212</v>
      </c>
      <c r="AU2" s="17"/>
      <c r="AV2" s="14" t="s">
        <v>214</v>
      </c>
      <c r="AW2" s="14" t="s">
        <v>150</v>
      </c>
      <c r="AX2" s="14" t="s">
        <v>151</v>
      </c>
      <c r="AY2" s="14" t="s">
        <v>150</v>
      </c>
      <c r="AZ2" s="14" t="s">
        <v>152</v>
      </c>
      <c r="BA2" s="15">
        <v>0</v>
      </c>
      <c r="BB2" s="15">
        <v>1</v>
      </c>
    </row>
    <row r="3" spans="1:54" ht="15.75" customHeight="1">
      <c r="A3" s="15">
        <v>1422</v>
      </c>
      <c r="B3" s="15">
        <v>35363</v>
      </c>
      <c r="C3" s="14" t="s">
        <v>208</v>
      </c>
      <c r="D3" s="14" t="s">
        <v>297</v>
      </c>
      <c r="E3" s="17"/>
      <c r="F3" s="15">
        <v>0</v>
      </c>
      <c r="G3" s="15">
        <v>0</v>
      </c>
      <c r="H3" s="15">
        <v>0</v>
      </c>
      <c r="I3" s="15">
        <v>1</v>
      </c>
      <c r="J3" s="15">
        <v>0</v>
      </c>
      <c r="K3" s="15">
        <v>0</v>
      </c>
      <c r="L3" s="15">
        <v>0</v>
      </c>
      <c r="M3" s="14" t="s">
        <v>209</v>
      </c>
      <c r="N3" s="15">
        <v>220000</v>
      </c>
      <c r="O3" s="18">
        <v>46108</v>
      </c>
      <c r="P3" s="18">
        <v>46023</v>
      </c>
      <c r="Q3" s="18">
        <v>46080</v>
      </c>
      <c r="R3" s="14" t="s">
        <v>248</v>
      </c>
      <c r="S3" s="19">
        <v>0.35416666666666669</v>
      </c>
      <c r="T3" s="19">
        <v>0.72916666666666663</v>
      </c>
      <c r="U3" s="15">
        <v>60</v>
      </c>
      <c r="V3" s="15">
        <v>0</v>
      </c>
      <c r="W3" s="15">
        <v>8</v>
      </c>
      <c r="X3" s="14" t="s">
        <v>211</v>
      </c>
      <c r="Y3" s="15">
        <v>1900</v>
      </c>
      <c r="Z3" s="15">
        <v>1900</v>
      </c>
      <c r="AA3" s="15">
        <v>2375</v>
      </c>
      <c r="AB3" s="15">
        <v>2850</v>
      </c>
      <c r="AC3" s="15">
        <v>2850</v>
      </c>
      <c r="AD3" s="15">
        <v>2565</v>
      </c>
      <c r="AE3" s="15">
        <v>1900</v>
      </c>
      <c r="AF3" s="15">
        <v>475</v>
      </c>
      <c r="AG3" s="15">
        <v>0</v>
      </c>
      <c r="AH3" s="14" t="s">
        <v>212</v>
      </c>
      <c r="AI3" s="17"/>
      <c r="AJ3" s="14" t="s">
        <v>211</v>
      </c>
      <c r="AK3" s="15">
        <v>1350</v>
      </c>
      <c r="AL3" s="15">
        <v>1350</v>
      </c>
      <c r="AM3" s="15">
        <v>1688</v>
      </c>
      <c r="AN3" s="15">
        <v>2025</v>
      </c>
      <c r="AO3" s="15">
        <v>2025</v>
      </c>
      <c r="AP3" s="15">
        <v>1823</v>
      </c>
      <c r="AQ3" s="15">
        <v>1350</v>
      </c>
      <c r="AR3" s="15">
        <v>338</v>
      </c>
      <c r="AS3" s="15">
        <v>0</v>
      </c>
      <c r="AT3" s="14" t="s">
        <v>213</v>
      </c>
      <c r="AU3" s="15">
        <v>83</v>
      </c>
      <c r="AV3" s="14" t="s">
        <v>214</v>
      </c>
      <c r="AW3" s="14" t="s">
        <v>150</v>
      </c>
      <c r="AX3" s="14" t="s">
        <v>151</v>
      </c>
      <c r="AY3" s="14" t="s">
        <v>150</v>
      </c>
      <c r="AZ3" s="14" t="s">
        <v>152</v>
      </c>
      <c r="BA3" s="15">
        <v>0</v>
      </c>
      <c r="BB3" s="15">
        <v>0</v>
      </c>
    </row>
    <row r="4" spans="1:54" ht="15.75" customHeight="1">
      <c r="A4" s="15">
        <v>1423</v>
      </c>
      <c r="B4" s="15">
        <v>34857</v>
      </c>
      <c r="C4" s="14" t="s">
        <v>208</v>
      </c>
      <c r="D4" s="14" t="s">
        <v>298</v>
      </c>
      <c r="E4" s="17"/>
      <c r="F4" s="15">
        <v>0</v>
      </c>
      <c r="G4" s="15">
        <v>0</v>
      </c>
      <c r="H4" s="15">
        <v>0</v>
      </c>
      <c r="I4" s="15">
        <v>1</v>
      </c>
      <c r="J4" s="15">
        <v>1</v>
      </c>
      <c r="K4" s="15">
        <v>1</v>
      </c>
      <c r="L4" s="15">
        <v>1</v>
      </c>
      <c r="M4" s="14" t="s">
        <v>209</v>
      </c>
      <c r="N4" s="15">
        <v>240000</v>
      </c>
      <c r="O4" s="18">
        <v>45432</v>
      </c>
      <c r="P4" s="18">
        <v>46023</v>
      </c>
      <c r="Q4" s="18">
        <v>46052</v>
      </c>
      <c r="R4" s="14" t="s">
        <v>249</v>
      </c>
      <c r="S4" s="19">
        <v>0.35416666666666669</v>
      </c>
      <c r="T4" s="19">
        <v>0.72916666666666663</v>
      </c>
      <c r="U4" s="15">
        <v>60</v>
      </c>
      <c r="V4" s="15">
        <v>0</v>
      </c>
      <c r="W4" s="15">
        <v>8</v>
      </c>
      <c r="X4" s="14" t="s">
        <v>211</v>
      </c>
      <c r="Y4" s="15">
        <v>2000</v>
      </c>
      <c r="Z4" s="15">
        <v>2000</v>
      </c>
      <c r="AA4" s="15">
        <v>2500</v>
      </c>
      <c r="AB4" s="15">
        <v>3000</v>
      </c>
      <c r="AC4" s="15">
        <v>3000</v>
      </c>
      <c r="AD4" s="15">
        <v>2700</v>
      </c>
      <c r="AE4" s="15">
        <v>2000</v>
      </c>
      <c r="AF4" s="15">
        <v>500</v>
      </c>
      <c r="AG4" s="15">
        <v>0</v>
      </c>
      <c r="AH4" s="14" t="s">
        <v>212</v>
      </c>
      <c r="AI4" s="17"/>
      <c r="AJ4" s="14" t="s">
        <v>211</v>
      </c>
      <c r="AK4" s="15">
        <v>1400</v>
      </c>
      <c r="AL4" s="15">
        <v>1400</v>
      </c>
      <c r="AM4" s="15">
        <v>1750</v>
      </c>
      <c r="AN4" s="15">
        <v>2100</v>
      </c>
      <c r="AO4" s="15">
        <v>2100</v>
      </c>
      <c r="AP4" s="15">
        <v>1890</v>
      </c>
      <c r="AQ4" s="15">
        <v>1400</v>
      </c>
      <c r="AR4" s="15">
        <v>350</v>
      </c>
      <c r="AS4" s="15">
        <v>0</v>
      </c>
      <c r="AT4" s="14" t="s">
        <v>212</v>
      </c>
      <c r="AU4" s="17"/>
      <c r="AV4" s="14" t="s">
        <v>214</v>
      </c>
      <c r="AW4" s="14" t="s">
        <v>150</v>
      </c>
      <c r="AX4" s="14" t="s">
        <v>151</v>
      </c>
      <c r="AY4" s="14" t="s">
        <v>150</v>
      </c>
      <c r="AZ4" s="14" t="s">
        <v>152</v>
      </c>
      <c r="BA4" s="15">
        <v>0</v>
      </c>
      <c r="BB4" s="15">
        <v>0</v>
      </c>
    </row>
  </sheetData>
  <phoneticPr fontId="1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00"/>
    <outlinePr summaryBelow="0" summaryRight="0"/>
  </sheetPr>
  <dimension ref="A1:AL47"/>
  <sheetViews>
    <sheetView topLeftCell="A28" workbookViewId="0">
      <selection activeCell="V46" sqref="V46"/>
    </sheetView>
  </sheetViews>
  <sheetFormatPr defaultColWidth="12.6328125" defaultRowHeight="15.75" customHeight="1"/>
  <cols>
    <col min="4" max="4" width="15.7265625" bestFit="1" customWidth="1"/>
    <col min="5" max="5" width="16.90625" bestFit="1" customWidth="1"/>
    <col min="12" max="12" width="15.7265625" bestFit="1" customWidth="1"/>
  </cols>
  <sheetData>
    <row r="1" spans="1:38" ht="15.75" customHeight="1">
      <c r="A1" s="14" t="s">
        <v>155</v>
      </c>
      <c r="B1" s="14" t="s">
        <v>156</v>
      </c>
      <c r="C1" s="14" t="s">
        <v>99</v>
      </c>
      <c r="D1" s="14" t="s">
        <v>215</v>
      </c>
      <c r="E1" s="14" t="s">
        <v>216</v>
      </c>
      <c r="F1" s="14" t="s">
        <v>217</v>
      </c>
      <c r="G1" s="14" t="s">
        <v>218</v>
      </c>
      <c r="H1" s="14" t="s">
        <v>219</v>
      </c>
      <c r="I1" s="14" t="s">
        <v>220</v>
      </c>
      <c r="J1" s="14" t="s">
        <v>221</v>
      </c>
      <c r="K1" s="14" t="s">
        <v>222</v>
      </c>
      <c r="L1" s="14" t="s">
        <v>223</v>
      </c>
      <c r="M1" s="14" t="s">
        <v>224</v>
      </c>
      <c r="N1" s="14" t="s">
        <v>225</v>
      </c>
      <c r="O1" s="14" t="s">
        <v>226</v>
      </c>
      <c r="P1" s="14" t="s">
        <v>227</v>
      </c>
      <c r="Q1" s="14" t="s">
        <v>228</v>
      </c>
      <c r="R1" s="14" t="s">
        <v>229</v>
      </c>
      <c r="S1" s="14" t="s">
        <v>230</v>
      </c>
      <c r="T1" s="14" t="s">
        <v>231</v>
      </c>
      <c r="U1" s="14" t="s">
        <v>232</v>
      </c>
      <c r="V1" s="14" t="s">
        <v>233</v>
      </c>
      <c r="W1" s="14" t="s">
        <v>234</v>
      </c>
      <c r="X1" s="14" t="s">
        <v>235</v>
      </c>
      <c r="Y1" s="14" t="s">
        <v>231</v>
      </c>
      <c r="Z1" s="14" t="s">
        <v>236</v>
      </c>
      <c r="AA1" s="14" t="s">
        <v>237</v>
      </c>
      <c r="AB1" s="14" t="s">
        <v>238</v>
      </c>
      <c r="AC1" s="14" t="s">
        <v>239</v>
      </c>
      <c r="AD1" s="14" t="s">
        <v>66</v>
      </c>
      <c r="AE1" s="14" t="s">
        <v>240</v>
      </c>
      <c r="AF1" s="14" t="s">
        <v>241</v>
      </c>
      <c r="AG1" s="14" t="s">
        <v>242</v>
      </c>
      <c r="AH1" s="14" t="s">
        <v>243</v>
      </c>
      <c r="AI1" s="14" t="s">
        <v>244</v>
      </c>
      <c r="AJ1" s="14" t="s">
        <v>245</v>
      </c>
      <c r="AK1" s="14" t="s">
        <v>246</v>
      </c>
      <c r="AL1" s="14"/>
    </row>
    <row r="2" spans="1:38" ht="15.75" customHeight="1">
      <c r="A2" s="15">
        <v>1422</v>
      </c>
      <c r="B2" s="15">
        <v>35363</v>
      </c>
      <c r="C2" s="15">
        <v>215</v>
      </c>
      <c r="D2" s="20">
        <v>46027.354166666664</v>
      </c>
      <c r="E2" s="20">
        <v>46027.729166666664</v>
      </c>
      <c r="F2" s="15">
        <v>60</v>
      </c>
      <c r="G2" s="14" t="s">
        <v>211</v>
      </c>
      <c r="H2" s="14" t="s">
        <v>211</v>
      </c>
      <c r="I2" s="15">
        <v>0</v>
      </c>
      <c r="J2" s="15">
        <v>83</v>
      </c>
      <c r="K2" s="15">
        <v>1</v>
      </c>
      <c r="L2" s="20">
        <v>46057.710416666669</v>
      </c>
      <c r="M2" s="15">
        <v>0</v>
      </c>
      <c r="N2" s="15">
        <v>0</v>
      </c>
      <c r="O2" s="15">
        <v>2</v>
      </c>
      <c r="P2" s="15">
        <v>0</v>
      </c>
      <c r="Q2" s="21"/>
      <c r="R2" s="15">
        <v>0</v>
      </c>
      <c r="S2" s="17"/>
      <c r="T2" s="17"/>
      <c r="U2" s="16"/>
      <c r="V2" s="16"/>
      <c r="W2" s="16"/>
      <c r="X2" s="16"/>
      <c r="Y2" s="16"/>
      <c r="Z2" s="16"/>
      <c r="AA2" s="17"/>
      <c r="AB2" s="17"/>
      <c r="AC2" s="17"/>
      <c r="AD2" s="16"/>
      <c r="AE2" s="16"/>
      <c r="AF2" s="16"/>
      <c r="AG2" s="16"/>
      <c r="AH2" s="16"/>
      <c r="AI2" s="16"/>
      <c r="AJ2" s="17"/>
      <c r="AK2" s="16"/>
      <c r="AL2" s="14"/>
    </row>
    <row r="3" spans="1:38" ht="15.75" customHeight="1">
      <c r="A3" s="15">
        <v>1422</v>
      </c>
      <c r="B3" s="15">
        <v>35363</v>
      </c>
      <c r="C3" s="15">
        <v>215</v>
      </c>
      <c r="D3" s="20">
        <v>46028.354166666664</v>
      </c>
      <c r="E3" s="20">
        <v>46028.729166666664</v>
      </c>
      <c r="F3" s="15">
        <v>60</v>
      </c>
      <c r="G3" s="14" t="s">
        <v>211</v>
      </c>
      <c r="H3" s="14" t="s">
        <v>211</v>
      </c>
      <c r="I3" s="15">
        <v>0</v>
      </c>
      <c r="J3" s="15">
        <v>83</v>
      </c>
      <c r="K3" s="15">
        <v>1</v>
      </c>
      <c r="L3" s="20">
        <v>46057.710416666669</v>
      </c>
      <c r="M3" s="15">
        <v>0</v>
      </c>
      <c r="N3" s="15">
        <v>0</v>
      </c>
      <c r="O3" s="15">
        <v>2</v>
      </c>
      <c r="P3" s="15">
        <v>0</v>
      </c>
      <c r="Q3" s="21"/>
      <c r="R3" s="15">
        <v>0</v>
      </c>
      <c r="S3" s="17"/>
      <c r="T3" s="17"/>
      <c r="U3" s="16"/>
      <c r="V3" s="16"/>
      <c r="W3" s="16"/>
      <c r="X3" s="16"/>
      <c r="Y3" s="16"/>
      <c r="Z3" s="16"/>
      <c r="AA3" s="17"/>
      <c r="AB3" s="17"/>
      <c r="AC3" s="17"/>
      <c r="AD3" s="16"/>
      <c r="AE3" s="16"/>
      <c r="AF3" s="16"/>
      <c r="AG3" s="16"/>
      <c r="AH3" s="16"/>
      <c r="AI3" s="16"/>
      <c r="AJ3" s="17"/>
      <c r="AK3" s="16"/>
      <c r="AL3" s="14"/>
    </row>
    <row r="4" spans="1:38" ht="15.75" customHeight="1">
      <c r="A4" s="15">
        <v>1422</v>
      </c>
      <c r="B4" s="15">
        <v>35363</v>
      </c>
      <c r="C4" s="15">
        <v>215</v>
      </c>
      <c r="D4" s="20">
        <v>46029.354166666664</v>
      </c>
      <c r="E4" s="20">
        <v>46029.729166666664</v>
      </c>
      <c r="F4" s="15">
        <v>60</v>
      </c>
      <c r="G4" s="14" t="s">
        <v>211</v>
      </c>
      <c r="H4" s="14" t="s">
        <v>211</v>
      </c>
      <c r="I4" s="15">
        <v>0</v>
      </c>
      <c r="J4" s="15">
        <v>83</v>
      </c>
      <c r="K4" s="15">
        <v>1</v>
      </c>
      <c r="L4" s="20">
        <v>46057.710416666669</v>
      </c>
      <c r="M4" s="15">
        <v>0</v>
      </c>
      <c r="N4" s="15">
        <v>0</v>
      </c>
      <c r="O4" s="15">
        <v>2</v>
      </c>
      <c r="P4" s="15">
        <v>0</v>
      </c>
      <c r="Q4" s="21"/>
      <c r="R4" s="15">
        <v>0</v>
      </c>
      <c r="S4" s="17"/>
      <c r="T4" s="17"/>
      <c r="U4" s="16"/>
      <c r="V4" s="16"/>
      <c r="W4" s="16"/>
      <c r="X4" s="16"/>
      <c r="Y4" s="16"/>
      <c r="Z4" s="16"/>
      <c r="AA4" s="17"/>
      <c r="AB4" s="17"/>
      <c r="AC4" s="17"/>
      <c r="AD4" s="16"/>
      <c r="AE4" s="16"/>
      <c r="AF4" s="16"/>
      <c r="AG4" s="16"/>
      <c r="AH4" s="16"/>
      <c r="AI4" s="16"/>
      <c r="AJ4" s="17"/>
      <c r="AK4" s="16"/>
      <c r="AL4" s="14"/>
    </row>
    <row r="5" spans="1:38" ht="15.75" customHeight="1">
      <c r="A5" s="15">
        <v>1422</v>
      </c>
      <c r="B5" s="15">
        <v>35363</v>
      </c>
      <c r="C5" s="15">
        <v>215</v>
      </c>
      <c r="D5" s="20">
        <v>46030.354166666664</v>
      </c>
      <c r="E5" s="20">
        <v>46030.729166666664</v>
      </c>
      <c r="F5" s="15">
        <v>60</v>
      </c>
      <c r="G5" s="14" t="s">
        <v>211</v>
      </c>
      <c r="H5" s="14" t="s">
        <v>211</v>
      </c>
      <c r="I5" s="15">
        <v>0</v>
      </c>
      <c r="J5" s="15">
        <v>83</v>
      </c>
      <c r="K5" s="15">
        <v>1</v>
      </c>
      <c r="L5" s="20">
        <v>46057.710416666669</v>
      </c>
      <c r="M5" s="15">
        <v>0</v>
      </c>
      <c r="N5" s="15">
        <v>0</v>
      </c>
      <c r="O5" s="15">
        <v>2</v>
      </c>
      <c r="P5" s="15">
        <v>0</v>
      </c>
      <c r="Q5" s="21"/>
      <c r="R5" s="15">
        <v>0</v>
      </c>
      <c r="S5" s="17"/>
      <c r="T5" s="17"/>
      <c r="U5" s="16"/>
      <c r="V5" s="16"/>
      <c r="W5" s="16"/>
      <c r="X5" s="16"/>
      <c r="Y5" s="16"/>
      <c r="Z5" s="16"/>
      <c r="AA5" s="17"/>
      <c r="AB5" s="17"/>
      <c r="AC5" s="17"/>
      <c r="AD5" s="16"/>
      <c r="AE5" s="16"/>
      <c r="AF5" s="16"/>
      <c r="AG5" s="16"/>
      <c r="AH5" s="16"/>
      <c r="AI5" s="16"/>
      <c r="AJ5" s="17"/>
      <c r="AK5" s="16"/>
      <c r="AL5" s="14"/>
    </row>
    <row r="6" spans="1:38" ht="15.75" customHeight="1">
      <c r="A6" s="15">
        <v>1422</v>
      </c>
      <c r="B6" s="15">
        <v>35363</v>
      </c>
      <c r="C6" s="15">
        <v>215</v>
      </c>
      <c r="D6" s="20">
        <v>46035.354166666664</v>
      </c>
      <c r="E6" s="20">
        <v>46035.729166666664</v>
      </c>
      <c r="F6" s="15">
        <v>60</v>
      </c>
      <c r="G6" s="14" t="s">
        <v>211</v>
      </c>
      <c r="H6" s="14" t="s">
        <v>211</v>
      </c>
      <c r="I6" s="15">
        <v>0</v>
      </c>
      <c r="J6" s="15">
        <v>83</v>
      </c>
      <c r="K6" s="15">
        <v>1</v>
      </c>
      <c r="L6" s="20">
        <v>46057.710416666669</v>
      </c>
      <c r="M6" s="15">
        <v>0</v>
      </c>
      <c r="N6" s="15">
        <v>0</v>
      </c>
      <c r="O6" s="15">
        <v>2</v>
      </c>
      <c r="P6" s="15">
        <v>0</v>
      </c>
      <c r="Q6" s="21"/>
      <c r="R6" s="15">
        <v>0</v>
      </c>
      <c r="S6" s="17"/>
      <c r="T6" s="17"/>
      <c r="U6" s="16"/>
      <c r="V6" s="16"/>
      <c r="W6" s="16"/>
      <c r="X6" s="16"/>
      <c r="Y6" s="16"/>
      <c r="Z6" s="16"/>
      <c r="AA6" s="17"/>
      <c r="AB6" s="17"/>
      <c r="AC6" s="17"/>
      <c r="AD6" s="16"/>
      <c r="AE6" s="16"/>
      <c r="AF6" s="16"/>
      <c r="AG6" s="16"/>
      <c r="AH6" s="16"/>
      <c r="AI6" s="16"/>
      <c r="AJ6" s="17"/>
      <c r="AK6" s="16"/>
      <c r="AL6" s="14"/>
    </row>
    <row r="7" spans="1:38" ht="15.75" customHeight="1">
      <c r="A7" s="15">
        <v>1422</v>
      </c>
      <c r="B7" s="15">
        <v>35363</v>
      </c>
      <c r="C7" s="15">
        <v>215</v>
      </c>
      <c r="D7" s="20">
        <v>46036.354166666664</v>
      </c>
      <c r="E7" s="20">
        <v>46036.729166666664</v>
      </c>
      <c r="F7" s="15">
        <v>60</v>
      </c>
      <c r="G7" s="14" t="s">
        <v>211</v>
      </c>
      <c r="H7" s="14" t="s">
        <v>211</v>
      </c>
      <c r="I7" s="15">
        <v>0</v>
      </c>
      <c r="J7" s="15">
        <v>83</v>
      </c>
      <c r="K7" s="15">
        <v>1</v>
      </c>
      <c r="L7" s="20">
        <v>46057.710416666669</v>
      </c>
      <c r="M7" s="15">
        <v>0</v>
      </c>
      <c r="N7" s="15">
        <v>0</v>
      </c>
      <c r="O7" s="15">
        <v>2</v>
      </c>
      <c r="P7" s="15">
        <v>0</v>
      </c>
      <c r="Q7" s="21"/>
      <c r="R7" s="15">
        <v>0</v>
      </c>
      <c r="S7" s="17"/>
      <c r="T7" s="17"/>
      <c r="U7" s="16"/>
      <c r="V7" s="16"/>
      <c r="W7" s="16"/>
      <c r="X7" s="16"/>
      <c r="Y7" s="16"/>
      <c r="Z7" s="16"/>
      <c r="AA7" s="17"/>
      <c r="AB7" s="17"/>
      <c r="AC7" s="17"/>
      <c r="AD7" s="16"/>
      <c r="AE7" s="16"/>
      <c r="AF7" s="16"/>
      <c r="AG7" s="16"/>
      <c r="AH7" s="16"/>
      <c r="AI7" s="16"/>
      <c r="AJ7" s="17"/>
      <c r="AK7" s="16"/>
      <c r="AL7" s="14"/>
    </row>
    <row r="8" spans="1:38" ht="15.75" customHeight="1">
      <c r="A8" s="15">
        <v>1422</v>
      </c>
      <c r="B8" s="15">
        <v>35363</v>
      </c>
      <c r="C8" s="15">
        <v>215</v>
      </c>
      <c r="D8" s="20">
        <v>46037.354166666664</v>
      </c>
      <c r="E8" s="20">
        <v>46037.729166666664</v>
      </c>
      <c r="F8" s="15">
        <v>60</v>
      </c>
      <c r="G8" s="14" t="s">
        <v>211</v>
      </c>
      <c r="H8" s="14" t="s">
        <v>211</v>
      </c>
      <c r="I8" s="15">
        <v>0</v>
      </c>
      <c r="J8" s="15">
        <v>83</v>
      </c>
      <c r="K8" s="15">
        <v>1</v>
      </c>
      <c r="L8" s="20">
        <v>46057.710416666669</v>
      </c>
      <c r="M8" s="15">
        <v>0</v>
      </c>
      <c r="N8" s="15">
        <v>0</v>
      </c>
      <c r="O8" s="15">
        <v>2</v>
      </c>
      <c r="P8" s="15">
        <v>0</v>
      </c>
      <c r="Q8" s="21"/>
      <c r="R8" s="15">
        <v>0</v>
      </c>
      <c r="S8" s="17"/>
      <c r="T8" s="17"/>
      <c r="U8" s="16"/>
      <c r="V8" s="16"/>
      <c r="W8" s="16"/>
      <c r="X8" s="16"/>
      <c r="Y8" s="16"/>
      <c r="Z8" s="16"/>
      <c r="AA8" s="17"/>
      <c r="AB8" s="17"/>
      <c r="AC8" s="17"/>
      <c r="AD8" s="16"/>
      <c r="AE8" s="16"/>
      <c r="AF8" s="16"/>
      <c r="AG8" s="16"/>
      <c r="AH8" s="16"/>
      <c r="AI8" s="16"/>
      <c r="AJ8" s="17"/>
      <c r="AK8" s="16"/>
      <c r="AL8" s="14"/>
    </row>
    <row r="9" spans="1:38" ht="15.75" customHeight="1">
      <c r="A9" s="15">
        <v>1422</v>
      </c>
      <c r="B9" s="15">
        <v>35363</v>
      </c>
      <c r="C9" s="15">
        <v>215</v>
      </c>
      <c r="D9" s="20">
        <v>46038.354166666664</v>
      </c>
      <c r="E9" s="20">
        <v>46038.729166666664</v>
      </c>
      <c r="F9" s="15">
        <v>60</v>
      </c>
      <c r="G9" s="14" t="s">
        <v>211</v>
      </c>
      <c r="H9" s="14" t="s">
        <v>211</v>
      </c>
      <c r="I9" s="15">
        <v>0</v>
      </c>
      <c r="J9" s="15">
        <v>83</v>
      </c>
      <c r="K9" s="15">
        <v>1</v>
      </c>
      <c r="L9" s="20">
        <v>46057.710416666669</v>
      </c>
      <c r="M9" s="15">
        <v>0</v>
      </c>
      <c r="N9" s="15">
        <v>0</v>
      </c>
      <c r="O9" s="15">
        <v>2</v>
      </c>
      <c r="P9" s="15">
        <v>0</v>
      </c>
      <c r="Q9" s="21"/>
      <c r="R9" s="15">
        <v>0</v>
      </c>
      <c r="S9" s="17"/>
      <c r="T9" s="17"/>
      <c r="U9" s="16"/>
      <c r="V9" s="16"/>
      <c r="W9" s="16"/>
      <c r="X9" s="16"/>
      <c r="Y9" s="16"/>
      <c r="Z9" s="16"/>
      <c r="AA9" s="17"/>
      <c r="AB9" s="17"/>
      <c r="AC9" s="17"/>
      <c r="AD9" s="16"/>
      <c r="AE9" s="16"/>
      <c r="AF9" s="16"/>
      <c r="AG9" s="16"/>
      <c r="AH9" s="16"/>
      <c r="AI9" s="16"/>
      <c r="AJ9" s="17"/>
      <c r="AK9" s="16"/>
      <c r="AL9" s="14"/>
    </row>
    <row r="10" spans="1:38" ht="15.75" customHeight="1">
      <c r="A10" s="15">
        <v>1422</v>
      </c>
      <c r="B10" s="15">
        <v>35363</v>
      </c>
      <c r="C10" s="15">
        <v>215</v>
      </c>
      <c r="D10" s="20">
        <v>46041.354166666664</v>
      </c>
      <c r="E10" s="20">
        <v>46041.729166666664</v>
      </c>
      <c r="F10" s="15">
        <v>60</v>
      </c>
      <c r="G10" s="14" t="s">
        <v>211</v>
      </c>
      <c r="H10" s="14" t="s">
        <v>211</v>
      </c>
      <c r="I10" s="15">
        <v>0</v>
      </c>
      <c r="J10" s="15">
        <v>83</v>
      </c>
      <c r="K10" s="15">
        <v>1</v>
      </c>
      <c r="L10" s="20">
        <v>46057.710416666669</v>
      </c>
      <c r="M10" s="15">
        <v>0</v>
      </c>
      <c r="N10" s="15">
        <v>0</v>
      </c>
      <c r="O10" s="15">
        <v>2</v>
      </c>
      <c r="P10" s="15">
        <v>0</v>
      </c>
      <c r="Q10" s="21"/>
      <c r="R10" s="15">
        <v>0</v>
      </c>
      <c r="S10" s="17"/>
      <c r="T10" s="17"/>
      <c r="U10" s="16"/>
      <c r="V10" s="16"/>
      <c r="W10" s="16"/>
      <c r="X10" s="16"/>
      <c r="Y10" s="16"/>
      <c r="Z10" s="16"/>
      <c r="AA10" s="17"/>
      <c r="AB10" s="17"/>
      <c r="AC10" s="17"/>
      <c r="AD10" s="16"/>
      <c r="AE10" s="16"/>
      <c r="AF10" s="16"/>
      <c r="AG10" s="16"/>
      <c r="AH10" s="16"/>
      <c r="AI10" s="16"/>
      <c r="AJ10" s="17"/>
      <c r="AK10" s="16"/>
      <c r="AL10" s="14"/>
    </row>
    <row r="11" spans="1:38" ht="15.75" customHeight="1">
      <c r="A11" s="15">
        <v>1422</v>
      </c>
      <c r="B11" s="15">
        <v>35363</v>
      </c>
      <c r="C11" s="15">
        <v>215</v>
      </c>
      <c r="D11" s="20">
        <v>46042.354166666664</v>
      </c>
      <c r="E11" s="20">
        <v>46042.729166666664</v>
      </c>
      <c r="F11" s="15">
        <v>60</v>
      </c>
      <c r="G11" s="14" t="s">
        <v>211</v>
      </c>
      <c r="H11" s="14" t="s">
        <v>211</v>
      </c>
      <c r="I11" s="15">
        <v>0</v>
      </c>
      <c r="J11" s="15">
        <v>83</v>
      </c>
      <c r="K11" s="15">
        <v>1</v>
      </c>
      <c r="L11" s="20">
        <v>46057.710416666669</v>
      </c>
      <c r="M11" s="15">
        <v>0</v>
      </c>
      <c r="N11" s="15">
        <v>0</v>
      </c>
      <c r="O11" s="15">
        <v>2</v>
      </c>
      <c r="P11" s="15">
        <v>0</v>
      </c>
      <c r="Q11" s="21"/>
      <c r="R11" s="15">
        <v>0</v>
      </c>
      <c r="S11" s="17"/>
      <c r="T11" s="17"/>
      <c r="U11" s="16"/>
      <c r="V11" s="16"/>
      <c r="W11" s="16"/>
      <c r="X11" s="16"/>
      <c r="Y11" s="16"/>
      <c r="Z11" s="16"/>
      <c r="AA11" s="17"/>
      <c r="AB11" s="17"/>
      <c r="AC11" s="17"/>
      <c r="AD11" s="16"/>
      <c r="AE11" s="16"/>
      <c r="AF11" s="16"/>
      <c r="AG11" s="16"/>
      <c r="AH11" s="16"/>
      <c r="AI11" s="16"/>
      <c r="AJ11" s="17"/>
      <c r="AK11" s="16"/>
      <c r="AL11" s="14"/>
    </row>
    <row r="12" spans="1:38" ht="15.75" customHeight="1">
      <c r="A12" s="15">
        <v>1422</v>
      </c>
      <c r="B12" s="15">
        <v>35363</v>
      </c>
      <c r="C12" s="15">
        <v>215</v>
      </c>
      <c r="D12" s="20">
        <v>46043.354166666664</v>
      </c>
      <c r="E12" s="20">
        <v>46043.729166666664</v>
      </c>
      <c r="F12" s="15">
        <v>60</v>
      </c>
      <c r="G12" s="14" t="s">
        <v>211</v>
      </c>
      <c r="H12" s="14" t="s">
        <v>211</v>
      </c>
      <c r="I12" s="15">
        <v>0</v>
      </c>
      <c r="J12" s="15">
        <v>83</v>
      </c>
      <c r="K12" s="15">
        <v>1</v>
      </c>
      <c r="L12" s="20">
        <v>46057.710416666669</v>
      </c>
      <c r="M12" s="15">
        <v>0</v>
      </c>
      <c r="N12" s="15">
        <v>0</v>
      </c>
      <c r="O12" s="15">
        <v>2</v>
      </c>
      <c r="P12" s="15">
        <v>0</v>
      </c>
      <c r="Q12" s="21"/>
      <c r="R12" s="15">
        <v>0</v>
      </c>
      <c r="S12" s="17"/>
      <c r="T12" s="17"/>
      <c r="U12" s="16"/>
      <c r="V12" s="16"/>
      <c r="W12" s="16"/>
      <c r="X12" s="16"/>
      <c r="Y12" s="16"/>
      <c r="Z12" s="16"/>
      <c r="AA12" s="17"/>
      <c r="AB12" s="17"/>
      <c r="AC12" s="17"/>
      <c r="AD12" s="16"/>
      <c r="AE12" s="16"/>
      <c r="AF12" s="16"/>
      <c r="AG12" s="16"/>
      <c r="AH12" s="16"/>
      <c r="AI12" s="16"/>
      <c r="AJ12" s="17"/>
      <c r="AK12" s="16"/>
      <c r="AL12" s="14"/>
    </row>
    <row r="13" spans="1:38" ht="15.75" customHeight="1">
      <c r="A13" s="15">
        <v>1422</v>
      </c>
      <c r="B13" s="15">
        <v>35363</v>
      </c>
      <c r="C13" s="15">
        <v>215</v>
      </c>
      <c r="D13" s="20">
        <v>46044.354166666664</v>
      </c>
      <c r="E13" s="20">
        <v>46044.729166666664</v>
      </c>
      <c r="F13" s="15">
        <v>60</v>
      </c>
      <c r="G13" s="14" t="s">
        <v>211</v>
      </c>
      <c r="H13" s="14" t="s">
        <v>211</v>
      </c>
      <c r="I13" s="15">
        <v>0</v>
      </c>
      <c r="J13" s="15">
        <v>83</v>
      </c>
      <c r="K13" s="15">
        <v>1</v>
      </c>
      <c r="L13" s="20">
        <v>46057.710416666669</v>
      </c>
      <c r="M13" s="15">
        <v>0</v>
      </c>
      <c r="N13" s="15">
        <v>0</v>
      </c>
      <c r="O13" s="15">
        <v>2</v>
      </c>
      <c r="P13" s="15">
        <v>0</v>
      </c>
      <c r="Q13" s="21"/>
      <c r="R13" s="15">
        <v>0</v>
      </c>
      <c r="S13" s="17"/>
      <c r="T13" s="17"/>
      <c r="U13" s="16"/>
      <c r="V13" s="16"/>
      <c r="W13" s="16"/>
      <c r="X13" s="16"/>
      <c r="Y13" s="16"/>
      <c r="Z13" s="16"/>
      <c r="AA13" s="17"/>
      <c r="AB13" s="17"/>
      <c r="AC13" s="17"/>
      <c r="AD13" s="16"/>
      <c r="AE13" s="16"/>
      <c r="AF13" s="16"/>
      <c r="AG13" s="16"/>
      <c r="AH13" s="16"/>
      <c r="AI13" s="16"/>
      <c r="AJ13" s="17"/>
      <c r="AK13" s="16"/>
      <c r="AL13" s="14"/>
    </row>
    <row r="14" spans="1:38" ht="15.75" customHeight="1">
      <c r="A14" s="15">
        <v>1422</v>
      </c>
      <c r="B14" s="15">
        <v>35363</v>
      </c>
      <c r="C14" s="15">
        <v>215</v>
      </c>
      <c r="D14" s="20">
        <v>46045.354166666664</v>
      </c>
      <c r="E14" s="20">
        <v>46045.729166666664</v>
      </c>
      <c r="F14" s="15">
        <v>60</v>
      </c>
      <c r="G14" s="14" t="s">
        <v>211</v>
      </c>
      <c r="H14" s="14" t="s">
        <v>211</v>
      </c>
      <c r="I14" s="15">
        <v>0</v>
      </c>
      <c r="J14" s="15">
        <v>83</v>
      </c>
      <c r="K14" s="15">
        <v>1</v>
      </c>
      <c r="L14" s="20">
        <v>46057.710416666669</v>
      </c>
      <c r="M14" s="15">
        <v>0</v>
      </c>
      <c r="N14" s="15">
        <v>0</v>
      </c>
      <c r="O14" s="15">
        <v>2</v>
      </c>
      <c r="P14" s="15">
        <v>0</v>
      </c>
      <c r="Q14" s="21"/>
      <c r="R14" s="15">
        <v>0</v>
      </c>
      <c r="S14" s="17"/>
      <c r="T14" s="17"/>
      <c r="U14" s="16"/>
      <c r="V14" s="16"/>
      <c r="W14" s="16"/>
      <c r="X14" s="16"/>
      <c r="Y14" s="16"/>
      <c r="Z14" s="16"/>
      <c r="AA14" s="17"/>
      <c r="AB14" s="17"/>
      <c r="AC14" s="17"/>
      <c r="AD14" s="16"/>
      <c r="AE14" s="16"/>
      <c r="AF14" s="16"/>
      <c r="AG14" s="16"/>
      <c r="AH14" s="16"/>
      <c r="AI14" s="16"/>
      <c r="AJ14" s="17"/>
      <c r="AK14" s="16"/>
      <c r="AL14" s="14"/>
    </row>
    <row r="15" spans="1:38" ht="15.75" customHeight="1">
      <c r="A15" s="15">
        <v>1422</v>
      </c>
      <c r="B15" s="15">
        <v>35363</v>
      </c>
      <c r="C15" s="15">
        <v>215</v>
      </c>
      <c r="D15" s="20">
        <v>46049.354166666664</v>
      </c>
      <c r="E15" s="20">
        <v>46049.729166666664</v>
      </c>
      <c r="F15" s="15">
        <v>60</v>
      </c>
      <c r="G15" s="14" t="s">
        <v>211</v>
      </c>
      <c r="H15" s="14" t="s">
        <v>211</v>
      </c>
      <c r="I15" s="15">
        <v>0</v>
      </c>
      <c r="J15" s="15">
        <v>83</v>
      </c>
      <c r="K15" s="15">
        <v>1</v>
      </c>
      <c r="L15" s="20">
        <v>46057.710416666669</v>
      </c>
      <c r="M15" s="15">
        <v>0</v>
      </c>
      <c r="N15" s="15">
        <v>0</v>
      </c>
      <c r="O15" s="15">
        <v>2</v>
      </c>
      <c r="P15" s="15">
        <v>0</v>
      </c>
      <c r="Q15" s="21"/>
      <c r="R15" s="15">
        <v>0</v>
      </c>
      <c r="S15" s="17"/>
      <c r="T15" s="17"/>
      <c r="U15" s="16"/>
      <c r="V15" s="16"/>
      <c r="W15" s="16"/>
      <c r="X15" s="16"/>
      <c r="Y15" s="16"/>
      <c r="Z15" s="16"/>
      <c r="AA15" s="17"/>
      <c r="AB15" s="17"/>
      <c r="AC15" s="17"/>
      <c r="AD15" s="16"/>
      <c r="AE15" s="16"/>
      <c r="AF15" s="16"/>
      <c r="AG15" s="16"/>
      <c r="AH15" s="16"/>
      <c r="AI15" s="16"/>
      <c r="AJ15" s="17"/>
      <c r="AK15" s="16"/>
      <c r="AL15" s="14"/>
    </row>
    <row r="16" spans="1:38" ht="15.75" customHeight="1">
      <c r="A16" s="15">
        <v>1422</v>
      </c>
      <c r="B16" s="15">
        <v>35363</v>
      </c>
      <c r="C16" s="15">
        <v>215</v>
      </c>
      <c r="D16" s="20">
        <v>46050.354166666664</v>
      </c>
      <c r="E16" s="20">
        <v>46050.729166666664</v>
      </c>
      <c r="F16" s="15">
        <v>60</v>
      </c>
      <c r="G16" s="14" t="s">
        <v>211</v>
      </c>
      <c r="H16" s="14" t="s">
        <v>211</v>
      </c>
      <c r="I16" s="15">
        <v>0</v>
      </c>
      <c r="J16" s="15">
        <v>83</v>
      </c>
      <c r="K16" s="15">
        <v>1</v>
      </c>
      <c r="L16" s="20">
        <v>46057.710416666669</v>
      </c>
      <c r="M16" s="15">
        <v>0</v>
      </c>
      <c r="N16" s="15">
        <v>0</v>
      </c>
      <c r="O16" s="15">
        <v>2</v>
      </c>
      <c r="P16" s="15">
        <v>0</v>
      </c>
      <c r="Q16" s="21"/>
      <c r="R16" s="15">
        <v>0</v>
      </c>
      <c r="S16" s="17"/>
      <c r="T16" s="17"/>
      <c r="U16" s="16"/>
      <c r="V16" s="16"/>
      <c r="W16" s="16"/>
      <c r="X16" s="16"/>
      <c r="Y16" s="16"/>
      <c r="Z16" s="16"/>
      <c r="AA16" s="17"/>
      <c r="AB16" s="17"/>
      <c r="AC16" s="17"/>
      <c r="AD16" s="16"/>
      <c r="AE16" s="16"/>
      <c r="AF16" s="16"/>
      <c r="AG16" s="16"/>
      <c r="AH16" s="16"/>
      <c r="AI16" s="16"/>
      <c r="AJ16" s="17"/>
      <c r="AK16" s="16"/>
      <c r="AL16" s="14"/>
    </row>
    <row r="17" spans="1:38" ht="15.75" customHeight="1">
      <c r="A17" s="15">
        <v>1422</v>
      </c>
      <c r="B17" s="15">
        <v>35363</v>
      </c>
      <c r="C17" s="15">
        <v>215</v>
      </c>
      <c r="D17" s="20">
        <v>46051.354166666664</v>
      </c>
      <c r="E17" s="20">
        <v>46051.729166666664</v>
      </c>
      <c r="F17" s="15">
        <v>60</v>
      </c>
      <c r="G17" s="14" t="s">
        <v>211</v>
      </c>
      <c r="H17" s="14" t="s">
        <v>211</v>
      </c>
      <c r="I17" s="15">
        <v>0</v>
      </c>
      <c r="J17" s="15">
        <v>83</v>
      </c>
      <c r="K17" s="15">
        <v>1</v>
      </c>
      <c r="L17" s="20">
        <v>46057.710416666669</v>
      </c>
      <c r="M17" s="15">
        <v>0</v>
      </c>
      <c r="N17" s="15">
        <v>0</v>
      </c>
      <c r="O17" s="15">
        <v>2</v>
      </c>
      <c r="P17" s="15">
        <v>0</v>
      </c>
      <c r="Q17" s="21"/>
      <c r="R17" s="15">
        <v>0</v>
      </c>
      <c r="S17" s="17"/>
      <c r="T17" s="17"/>
      <c r="U17" s="16"/>
      <c r="V17" s="16"/>
      <c r="W17" s="16"/>
      <c r="X17" s="16"/>
      <c r="Y17" s="16"/>
      <c r="Z17" s="16"/>
      <c r="AA17" s="17"/>
      <c r="AB17" s="17"/>
      <c r="AC17" s="17"/>
      <c r="AD17" s="16"/>
      <c r="AE17" s="16"/>
      <c r="AF17" s="16"/>
      <c r="AG17" s="16"/>
      <c r="AH17" s="16"/>
      <c r="AI17" s="16"/>
      <c r="AJ17" s="17"/>
      <c r="AK17" s="16"/>
      <c r="AL17" s="14"/>
    </row>
    <row r="18" spans="1:38" ht="15.75" customHeight="1">
      <c r="A18" s="15">
        <v>1422</v>
      </c>
      <c r="B18" s="15">
        <v>35363</v>
      </c>
      <c r="C18" s="15">
        <v>215</v>
      </c>
      <c r="D18" s="20">
        <v>46052.354166666664</v>
      </c>
      <c r="E18" s="20">
        <v>46052.729166666664</v>
      </c>
      <c r="F18" s="15">
        <v>60</v>
      </c>
      <c r="G18" s="14" t="s">
        <v>211</v>
      </c>
      <c r="H18" s="14" t="s">
        <v>211</v>
      </c>
      <c r="I18" s="15">
        <v>0</v>
      </c>
      <c r="J18" s="15">
        <v>83</v>
      </c>
      <c r="K18" s="15">
        <v>1</v>
      </c>
      <c r="L18" s="20">
        <v>46057.710416666669</v>
      </c>
      <c r="M18" s="15">
        <v>0</v>
      </c>
      <c r="N18" s="15">
        <v>0</v>
      </c>
      <c r="O18" s="15">
        <v>2</v>
      </c>
      <c r="P18" s="15">
        <v>0</v>
      </c>
      <c r="Q18" s="21"/>
      <c r="R18" s="15">
        <v>0</v>
      </c>
      <c r="S18" s="17"/>
      <c r="T18" s="17"/>
      <c r="U18" s="16"/>
      <c r="V18" s="16"/>
      <c r="W18" s="16"/>
      <c r="X18" s="16"/>
      <c r="Y18" s="16"/>
      <c r="Z18" s="16"/>
      <c r="AA18" s="17"/>
      <c r="AB18" s="17"/>
      <c r="AC18" s="17"/>
      <c r="AD18" s="16"/>
      <c r="AE18" s="16"/>
      <c r="AF18" s="16"/>
      <c r="AG18" s="16"/>
      <c r="AH18" s="16"/>
      <c r="AI18" s="16"/>
      <c r="AJ18" s="17"/>
      <c r="AK18" s="16"/>
      <c r="AL18" s="14"/>
    </row>
    <row r="19" spans="1:38" ht="15.75" customHeight="1">
      <c r="A19" s="15">
        <v>1423</v>
      </c>
      <c r="B19" s="15">
        <v>34857</v>
      </c>
      <c r="C19" s="15">
        <v>215</v>
      </c>
      <c r="D19" s="20">
        <v>46027.3125</v>
      </c>
      <c r="E19" s="20">
        <v>46027.770833333336</v>
      </c>
      <c r="F19" s="15">
        <v>60</v>
      </c>
      <c r="G19" s="14" t="s">
        <v>211</v>
      </c>
      <c r="H19" s="14" t="s">
        <v>211</v>
      </c>
      <c r="I19" s="15">
        <v>0</v>
      </c>
      <c r="J19" s="15">
        <v>0</v>
      </c>
      <c r="K19" s="15">
        <v>1</v>
      </c>
      <c r="L19" s="20">
        <v>46057.710416666669</v>
      </c>
      <c r="M19" s="15">
        <v>0</v>
      </c>
      <c r="N19" s="15">
        <v>0</v>
      </c>
      <c r="O19" s="15">
        <v>2</v>
      </c>
      <c r="P19" s="15">
        <v>0</v>
      </c>
      <c r="Q19" s="21"/>
      <c r="R19" s="15">
        <v>0</v>
      </c>
      <c r="S19" s="17"/>
      <c r="T19" s="17"/>
      <c r="U19" s="17"/>
      <c r="V19" s="17"/>
      <c r="W19" s="16"/>
      <c r="X19" s="16"/>
      <c r="Y19" s="16"/>
      <c r="Z19" s="16"/>
      <c r="AA19" s="17"/>
      <c r="AB19" s="17"/>
      <c r="AC19" s="17"/>
      <c r="AD19" s="17"/>
      <c r="AE19" s="17"/>
      <c r="AF19" s="16"/>
      <c r="AG19" s="16"/>
      <c r="AH19" s="16"/>
      <c r="AI19" s="16"/>
      <c r="AJ19" s="17"/>
      <c r="AK19" s="16"/>
      <c r="AL19" s="14"/>
    </row>
    <row r="20" spans="1:38" ht="15.75" customHeight="1">
      <c r="A20" s="15">
        <v>1423</v>
      </c>
      <c r="B20" s="15">
        <v>34857</v>
      </c>
      <c r="C20" s="15">
        <v>215</v>
      </c>
      <c r="D20" s="20">
        <v>46028.3125</v>
      </c>
      <c r="E20" s="20">
        <v>46028.770833333336</v>
      </c>
      <c r="F20" s="15">
        <v>60</v>
      </c>
      <c r="G20" s="14" t="s">
        <v>211</v>
      </c>
      <c r="H20" s="14" t="s">
        <v>211</v>
      </c>
      <c r="I20" s="15">
        <v>0</v>
      </c>
      <c r="J20" s="15">
        <v>0</v>
      </c>
      <c r="K20" s="15">
        <v>1</v>
      </c>
      <c r="L20" s="20">
        <v>46057.710416666669</v>
      </c>
      <c r="M20" s="15">
        <v>0</v>
      </c>
      <c r="N20" s="15">
        <v>0</v>
      </c>
      <c r="O20" s="15">
        <v>2</v>
      </c>
      <c r="P20" s="15">
        <v>0</v>
      </c>
      <c r="Q20" s="21"/>
      <c r="R20" s="15">
        <v>0</v>
      </c>
      <c r="S20" s="17"/>
      <c r="T20" s="17"/>
      <c r="U20" s="17"/>
      <c r="V20" s="17"/>
      <c r="W20" s="16"/>
      <c r="X20" s="16"/>
      <c r="Y20" s="16"/>
      <c r="Z20" s="16"/>
      <c r="AA20" s="17"/>
      <c r="AB20" s="17"/>
      <c r="AC20" s="17"/>
      <c r="AD20" s="17"/>
      <c r="AE20" s="17"/>
      <c r="AF20" s="16"/>
      <c r="AG20" s="16"/>
      <c r="AH20" s="16"/>
      <c r="AI20" s="16"/>
      <c r="AJ20" s="17"/>
      <c r="AK20" s="16"/>
      <c r="AL20" s="14"/>
    </row>
    <row r="21" spans="1:38" ht="15.75" customHeight="1">
      <c r="A21" s="15">
        <v>1423</v>
      </c>
      <c r="B21" s="15">
        <v>34857</v>
      </c>
      <c r="C21" s="15">
        <v>215</v>
      </c>
      <c r="D21" s="20">
        <v>46029.3125</v>
      </c>
      <c r="E21" s="20">
        <v>46029.770833333336</v>
      </c>
      <c r="F21" s="15">
        <v>60</v>
      </c>
      <c r="G21" s="14" t="s">
        <v>211</v>
      </c>
      <c r="H21" s="14" t="s">
        <v>211</v>
      </c>
      <c r="I21" s="15">
        <v>0</v>
      </c>
      <c r="J21" s="15">
        <v>0</v>
      </c>
      <c r="K21" s="15">
        <v>1</v>
      </c>
      <c r="L21" s="20">
        <v>46057.710416666669</v>
      </c>
      <c r="M21" s="15">
        <v>0</v>
      </c>
      <c r="N21" s="15">
        <v>0</v>
      </c>
      <c r="O21" s="15">
        <v>2</v>
      </c>
      <c r="P21" s="15">
        <v>0</v>
      </c>
      <c r="Q21" s="21"/>
      <c r="R21" s="15">
        <v>0</v>
      </c>
      <c r="S21" s="17"/>
      <c r="T21" s="17"/>
      <c r="U21" s="17"/>
      <c r="V21" s="17"/>
      <c r="W21" s="16"/>
      <c r="X21" s="16"/>
      <c r="Y21" s="16"/>
      <c r="Z21" s="16"/>
      <c r="AA21" s="17"/>
      <c r="AB21" s="17"/>
      <c r="AC21" s="17"/>
      <c r="AD21" s="17"/>
      <c r="AE21" s="17"/>
      <c r="AF21" s="16"/>
      <c r="AG21" s="16"/>
      <c r="AH21" s="16"/>
      <c r="AI21" s="16"/>
      <c r="AJ21" s="17"/>
      <c r="AK21" s="16"/>
      <c r="AL21" s="14"/>
    </row>
    <row r="22" spans="1:38" ht="15.75" customHeight="1">
      <c r="A22" s="15">
        <v>1423</v>
      </c>
      <c r="B22" s="15">
        <v>34857</v>
      </c>
      <c r="C22" s="15">
        <v>215</v>
      </c>
      <c r="D22" s="20">
        <v>46030.3125</v>
      </c>
      <c r="E22" s="20">
        <v>46030.770833333336</v>
      </c>
      <c r="F22" s="15">
        <v>60</v>
      </c>
      <c r="G22" s="14" t="s">
        <v>211</v>
      </c>
      <c r="H22" s="14" t="s">
        <v>211</v>
      </c>
      <c r="I22" s="15">
        <v>0</v>
      </c>
      <c r="J22" s="15">
        <v>0</v>
      </c>
      <c r="K22" s="15">
        <v>1</v>
      </c>
      <c r="L22" s="20">
        <v>46057.710416666669</v>
      </c>
      <c r="M22" s="15">
        <v>0</v>
      </c>
      <c r="N22" s="15">
        <v>0</v>
      </c>
      <c r="O22" s="15">
        <v>2</v>
      </c>
      <c r="P22" s="15">
        <v>0</v>
      </c>
      <c r="Q22" s="21"/>
      <c r="R22" s="15">
        <v>0</v>
      </c>
      <c r="S22" s="17"/>
      <c r="T22" s="17"/>
      <c r="U22" s="17"/>
      <c r="V22" s="17"/>
      <c r="W22" s="16"/>
      <c r="X22" s="16"/>
      <c r="Y22" s="16"/>
      <c r="Z22" s="16"/>
      <c r="AA22" s="17"/>
      <c r="AB22" s="17"/>
      <c r="AC22" s="17"/>
      <c r="AD22" s="17"/>
      <c r="AE22" s="17"/>
      <c r="AF22" s="16"/>
      <c r="AG22" s="16"/>
      <c r="AH22" s="16"/>
      <c r="AI22" s="16"/>
      <c r="AJ22" s="17"/>
      <c r="AK22" s="16"/>
      <c r="AL22" s="14"/>
    </row>
    <row r="23" spans="1:38" ht="15.75" customHeight="1">
      <c r="A23" s="15">
        <v>1423</v>
      </c>
      <c r="B23" s="15">
        <v>34857</v>
      </c>
      <c r="C23" s="15">
        <v>215</v>
      </c>
      <c r="D23" s="20">
        <v>46035.3125</v>
      </c>
      <c r="E23" s="20">
        <v>46035.770833333336</v>
      </c>
      <c r="F23" s="15">
        <v>60</v>
      </c>
      <c r="G23" s="14" t="s">
        <v>211</v>
      </c>
      <c r="H23" s="14" t="s">
        <v>211</v>
      </c>
      <c r="I23" s="15">
        <v>0</v>
      </c>
      <c r="J23" s="15">
        <v>0</v>
      </c>
      <c r="K23" s="15">
        <v>1</v>
      </c>
      <c r="L23" s="20">
        <v>46057.710416666669</v>
      </c>
      <c r="M23" s="15">
        <v>0</v>
      </c>
      <c r="N23" s="15">
        <v>0</v>
      </c>
      <c r="O23" s="15">
        <v>2</v>
      </c>
      <c r="P23" s="15">
        <v>0</v>
      </c>
      <c r="Q23" s="21"/>
      <c r="R23" s="15">
        <v>0</v>
      </c>
      <c r="S23" s="17"/>
      <c r="T23" s="17"/>
      <c r="U23" s="17"/>
      <c r="V23" s="17"/>
      <c r="W23" s="16"/>
      <c r="X23" s="16"/>
      <c r="Y23" s="16"/>
      <c r="Z23" s="16"/>
      <c r="AA23" s="17"/>
      <c r="AB23" s="17"/>
      <c r="AC23" s="17"/>
      <c r="AD23" s="17"/>
      <c r="AE23" s="17"/>
      <c r="AF23" s="16"/>
      <c r="AG23" s="16"/>
      <c r="AH23" s="16"/>
      <c r="AI23" s="16"/>
      <c r="AJ23" s="17"/>
      <c r="AK23" s="16"/>
      <c r="AL23" s="14"/>
    </row>
    <row r="24" spans="1:38" ht="15.75" customHeight="1">
      <c r="A24" s="15">
        <v>1423</v>
      </c>
      <c r="B24" s="15">
        <v>34857</v>
      </c>
      <c r="C24" s="15">
        <v>215</v>
      </c>
      <c r="D24" s="20">
        <v>46036.3125</v>
      </c>
      <c r="E24" s="20">
        <v>46036.770833333336</v>
      </c>
      <c r="F24" s="15">
        <v>60</v>
      </c>
      <c r="G24" s="14" t="s">
        <v>211</v>
      </c>
      <c r="H24" s="14" t="s">
        <v>211</v>
      </c>
      <c r="I24" s="15">
        <v>0</v>
      </c>
      <c r="J24" s="15">
        <v>0</v>
      </c>
      <c r="K24" s="15">
        <v>1</v>
      </c>
      <c r="L24" s="20">
        <v>46057.710416666669</v>
      </c>
      <c r="M24" s="15">
        <v>0</v>
      </c>
      <c r="N24" s="15">
        <v>0</v>
      </c>
      <c r="O24" s="15">
        <v>2</v>
      </c>
      <c r="P24" s="15">
        <v>0</v>
      </c>
      <c r="Q24" s="21"/>
      <c r="R24" s="15">
        <v>0</v>
      </c>
      <c r="S24" s="17"/>
      <c r="T24" s="17"/>
      <c r="U24" s="17"/>
      <c r="V24" s="17"/>
      <c r="W24" s="16"/>
      <c r="X24" s="16"/>
      <c r="Y24" s="16"/>
      <c r="Z24" s="16"/>
      <c r="AA24" s="17"/>
      <c r="AB24" s="17"/>
      <c r="AC24" s="17"/>
      <c r="AD24" s="17"/>
      <c r="AE24" s="17"/>
      <c r="AF24" s="16"/>
      <c r="AG24" s="16"/>
      <c r="AH24" s="16"/>
      <c r="AI24" s="16"/>
      <c r="AJ24" s="17"/>
      <c r="AK24" s="16"/>
      <c r="AL24" s="14"/>
    </row>
    <row r="25" spans="1:38" ht="15.75" customHeight="1">
      <c r="A25" s="15">
        <v>1423</v>
      </c>
      <c r="B25" s="15">
        <v>34857</v>
      </c>
      <c r="C25" s="15">
        <v>215</v>
      </c>
      <c r="D25" s="20">
        <v>46037.3125</v>
      </c>
      <c r="E25" s="20">
        <v>46037.770833333336</v>
      </c>
      <c r="F25" s="15">
        <v>60</v>
      </c>
      <c r="G25" s="14" t="s">
        <v>211</v>
      </c>
      <c r="H25" s="14" t="s">
        <v>211</v>
      </c>
      <c r="I25" s="15">
        <v>0</v>
      </c>
      <c r="J25" s="15">
        <v>0</v>
      </c>
      <c r="K25" s="15">
        <v>1</v>
      </c>
      <c r="L25" s="20">
        <v>46057.710416666669</v>
      </c>
      <c r="M25" s="15">
        <v>0</v>
      </c>
      <c r="N25" s="15">
        <v>0</v>
      </c>
      <c r="O25" s="15">
        <v>2</v>
      </c>
      <c r="P25" s="15">
        <v>0</v>
      </c>
      <c r="Q25" s="21"/>
      <c r="R25" s="15">
        <v>0</v>
      </c>
      <c r="S25" s="17"/>
      <c r="T25" s="17"/>
      <c r="U25" s="17"/>
      <c r="V25" s="17"/>
      <c r="W25" s="16"/>
      <c r="X25" s="16"/>
      <c r="Y25" s="16"/>
      <c r="Z25" s="16"/>
      <c r="AA25" s="17"/>
      <c r="AB25" s="17"/>
      <c r="AC25" s="17"/>
      <c r="AD25" s="17"/>
      <c r="AE25" s="17"/>
      <c r="AF25" s="16"/>
      <c r="AG25" s="16"/>
      <c r="AH25" s="16"/>
      <c r="AI25" s="16"/>
      <c r="AJ25" s="17"/>
      <c r="AK25" s="16"/>
      <c r="AL25" s="14"/>
    </row>
    <row r="26" spans="1:38" ht="15.75" customHeight="1">
      <c r="A26" s="15">
        <v>1423</v>
      </c>
      <c r="B26" s="15">
        <v>34857</v>
      </c>
      <c r="C26" s="15">
        <v>215</v>
      </c>
      <c r="D26" s="20">
        <v>46038.3125</v>
      </c>
      <c r="E26" s="20">
        <v>46038.770833333336</v>
      </c>
      <c r="F26" s="15">
        <v>60</v>
      </c>
      <c r="G26" s="14" t="s">
        <v>211</v>
      </c>
      <c r="H26" s="14" t="s">
        <v>211</v>
      </c>
      <c r="I26" s="15">
        <v>0</v>
      </c>
      <c r="J26" s="15">
        <v>0</v>
      </c>
      <c r="K26" s="15">
        <v>1</v>
      </c>
      <c r="L26" s="20">
        <v>46057.710416666669</v>
      </c>
      <c r="M26" s="15">
        <v>0</v>
      </c>
      <c r="N26" s="15">
        <v>0</v>
      </c>
      <c r="O26" s="15">
        <v>2</v>
      </c>
      <c r="P26" s="15">
        <v>0</v>
      </c>
      <c r="Q26" s="21"/>
      <c r="R26" s="15">
        <v>0</v>
      </c>
      <c r="S26" s="17"/>
      <c r="T26" s="17"/>
      <c r="U26" s="17"/>
      <c r="V26" s="17"/>
      <c r="W26" s="16"/>
      <c r="X26" s="16"/>
      <c r="Y26" s="16"/>
      <c r="Z26" s="16"/>
      <c r="AA26" s="17"/>
      <c r="AB26" s="17"/>
      <c r="AC26" s="17"/>
      <c r="AD26" s="17"/>
      <c r="AE26" s="17"/>
      <c r="AF26" s="16"/>
      <c r="AG26" s="16"/>
      <c r="AH26" s="16"/>
      <c r="AI26" s="16"/>
      <c r="AJ26" s="17"/>
      <c r="AK26" s="16"/>
      <c r="AL26" s="14"/>
    </row>
    <row r="27" spans="1:38" ht="15.75" customHeight="1">
      <c r="A27" s="15">
        <v>1424</v>
      </c>
      <c r="B27" s="15">
        <v>34493</v>
      </c>
      <c r="C27" s="15">
        <v>215</v>
      </c>
      <c r="D27" s="20">
        <v>46027.354166666664</v>
      </c>
      <c r="E27" s="20">
        <v>46027.729166666664</v>
      </c>
      <c r="F27" s="15">
        <v>60</v>
      </c>
      <c r="G27" s="14" t="s">
        <v>211</v>
      </c>
      <c r="H27" s="14" t="s">
        <v>211</v>
      </c>
      <c r="I27" s="15">
        <v>0</v>
      </c>
      <c r="J27" s="15">
        <v>0</v>
      </c>
      <c r="K27" s="15">
        <v>1</v>
      </c>
      <c r="L27" s="20">
        <v>46057.710416666669</v>
      </c>
      <c r="M27" s="15">
        <v>0</v>
      </c>
      <c r="N27" s="15">
        <v>0</v>
      </c>
      <c r="O27" s="15">
        <v>2</v>
      </c>
      <c r="P27" s="15">
        <v>0</v>
      </c>
      <c r="Q27" s="21"/>
      <c r="R27" s="15">
        <v>0</v>
      </c>
      <c r="S27" s="17"/>
      <c r="T27" s="17"/>
      <c r="U27" s="16"/>
      <c r="V27" s="16"/>
      <c r="W27" s="16"/>
      <c r="X27" s="16"/>
      <c r="Y27" s="16"/>
      <c r="Z27" s="16"/>
      <c r="AA27" s="17"/>
      <c r="AB27" s="17"/>
      <c r="AC27" s="17"/>
      <c r="AD27" s="16"/>
      <c r="AE27" s="16"/>
      <c r="AF27" s="16"/>
      <c r="AG27" s="16"/>
      <c r="AH27" s="16"/>
      <c r="AI27" s="16"/>
      <c r="AJ27" s="17"/>
      <c r="AK27" s="16"/>
      <c r="AL27" s="14"/>
    </row>
    <row r="28" spans="1:38" ht="15.75" customHeight="1">
      <c r="A28" s="15">
        <v>1424</v>
      </c>
      <c r="B28" s="15">
        <v>34493</v>
      </c>
      <c r="C28" s="15">
        <v>215</v>
      </c>
      <c r="D28" s="20">
        <v>46028.354166666664</v>
      </c>
      <c r="E28" s="20">
        <v>46028.729166666664</v>
      </c>
      <c r="F28" s="15">
        <v>60</v>
      </c>
      <c r="G28" s="14" t="s">
        <v>211</v>
      </c>
      <c r="H28" s="14" t="s">
        <v>211</v>
      </c>
      <c r="I28" s="15">
        <v>0</v>
      </c>
      <c r="J28" s="15">
        <v>0</v>
      </c>
      <c r="K28" s="15">
        <v>1</v>
      </c>
      <c r="L28" s="20">
        <v>46057.710416666669</v>
      </c>
      <c r="M28" s="15">
        <v>0</v>
      </c>
      <c r="N28" s="15">
        <v>0</v>
      </c>
      <c r="O28" s="15">
        <v>2</v>
      </c>
      <c r="P28" s="15">
        <v>0</v>
      </c>
      <c r="Q28" s="21"/>
      <c r="R28" s="15">
        <v>0</v>
      </c>
      <c r="S28" s="17"/>
      <c r="T28" s="17"/>
      <c r="U28" s="16"/>
      <c r="V28" s="16"/>
      <c r="W28" s="16"/>
      <c r="X28" s="16"/>
      <c r="Y28" s="16"/>
      <c r="Z28" s="16"/>
      <c r="AA28" s="17"/>
      <c r="AB28" s="17"/>
      <c r="AC28" s="17"/>
      <c r="AD28" s="16"/>
      <c r="AE28" s="16"/>
      <c r="AF28" s="16"/>
      <c r="AG28" s="16"/>
      <c r="AH28" s="16"/>
      <c r="AI28" s="16"/>
      <c r="AJ28" s="17"/>
      <c r="AK28" s="16"/>
      <c r="AL28" s="14"/>
    </row>
    <row r="29" spans="1:38" ht="15.75" customHeight="1">
      <c r="A29" s="15">
        <v>1424</v>
      </c>
      <c r="B29" s="15">
        <v>34493</v>
      </c>
      <c r="C29" s="15">
        <v>215</v>
      </c>
      <c r="D29" s="20">
        <v>46029.354166666664</v>
      </c>
      <c r="E29" s="20">
        <v>46029.729166666664</v>
      </c>
      <c r="F29" s="15">
        <v>60</v>
      </c>
      <c r="G29" s="14" t="s">
        <v>211</v>
      </c>
      <c r="H29" s="14" t="s">
        <v>211</v>
      </c>
      <c r="I29" s="15">
        <v>0</v>
      </c>
      <c r="J29" s="15">
        <v>0</v>
      </c>
      <c r="K29" s="15">
        <v>1</v>
      </c>
      <c r="L29" s="20">
        <v>46057.710416666669</v>
      </c>
      <c r="M29" s="15">
        <v>0</v>
      </c>
      <c r="N29" s="15">
        <v>0</v>
      </c>
      <c r="O29" s="15">
        <v>2</v>
      </c>
      <c r="P29" s="15">
        <v>0</v>
      </c>
      <c r="Q29" s="21"/>
      <c r="R29" s="15">
        <v>0</v>
      </c>
      <c r="S29" s="17"/>
      <c r="T29" s="17"/>
      <c r="U29" s="16"/>
      <c r="V29" s="16"/>
      <c r="W29" s="16"/>
      <c r="X29" s="16"/>
      <c r="Y29" s="16"/>
      <c r="Z29" s="16"/>
      <c r="AA29" s="17"/>
      <c r="AB29" s="17"/>
      <c r="AC29" s="17"/>
      <c r="AD29" s="16"/>
      <c r="AE29" s="16"/>
      <c r="AF29" s="16"/>
      <c r="AG29" s="16"/>
      <c r="AH29" s="16"/>
      <c r="AI29" s="16"/>
      <c r="AJ29" s="17"/>
      <c r="AK29" s="16"/>
      <c r="AL29" s="14"/>
    </row>
    <row r="30" spans="1:38" ht="15.75" customHeight="1">
      <c r="A30" s="15">
        <v>1424</v>
      </c>
      <c r="B30" s="15">
        <v>34493</v>
      </c>
      <c r="C30" s="15">
        <v>215</v>
      </c>
      <c r="D30" s="20">
        <v>46030.354166666664</v>
      </c>
      <c r="E30" s="20">
        <v>46030.625</v>
      </c>
      <c r="F30" s="15">
        <v>60</v>
      </c>
      <c r="G30" s="14" t="s">
        <v>211</v>
      </c>
      <c r="H30" s="14" t="s">
        <v>211</v>
      </c>
      <c r="I30" s="15">
        <v>0</v>
      </c>
      <c r="J30" s="15">
        <v>0</v>
      </c>
      <c r="K30" s="15">
        <v>1</v>
      </c>
      <c r="L30" s="20">
        <v>46057.710416666669</v>
      </c>
      <c r="M30" s="15">
        <v>0</v>
      </c>
      <c r="N30" s="15">
        <v>0</v>
      </c>
      <c r="O30" s="15">
        <v>2</v>
      </c>
      <c r="P30" s="15">
        <v>0</v>
      </c>
      <c r="Q30" s="21"/>
      <c r="R30" s="15">
        <v>0</v>
      </c>
      <c r="S30" s="17"/>
      <c r="T30" s="17"/>
      <c r="U30" s="16"/>
      <c r="V30" s="16"/>
      <c r="W30" s="16"/>
      <c r="X30" s="16"/>
      <c r="Y30" s="16"/>
      <c r="Z30" s="16"/>
      <c r="AA30" s="17"/>
      <c r="AB30" s="17"/>
      <c r="AC30" s="17"/>
      <c r="AD30" s="16"/>
      <c r="AE30" s="16"/>
      <c r="AF30" s="16"/>
      <c r="AG30" s="16"/>
      <c r="AH30" s="16"/>
      <c r="AI30" s="16"/>
      <c r="AJ30" s="17"/>
      <c r="AK30" s="16"/>
      <c r="AL30" s="14"/>
    </row>
    <row r="31" spans="1:38" ht="15.75" customHeight="1">
      <c r="A31" s="15">
        <v>1424</v>
      </c>
      <c r="B31" s="15">
        <v>34493</v>
      </c>
      <c r="C31" s="15">
        <v>215</v>
      </c>
      <c r="D31" s="20">
        <v>46035.354166666664</v>
      </c>
      <c r="E31" s="20">
        <v>46035.729166666664</v>
      </c>
      <c r="F31" s="15">
        <v>60</v>
      </c>
      <c r="G31" s="14" t="s">
        <v>211</v>
      </c>
      <c r="H31" s="14" t="s">
        <v>211</v>
      </c>
      <c r="I31" s="15">
        <v>0</v>
      </c>
      <c r="J31" s="15">
        <v>0</v>
      </c>
      <c r="K31" s="15">
        <v>1</v>
      </c>
      <c r="L31" s="20">
        <v>46057.710416666669</v>
      </c>
      <c r="M31" s="15">
        <v>0</v>
      </c>
      <c r="N31" s="15">
        <v>0</v>
      </c>
      <c r="O31" s="15">
        <v>2</v>
      </c>
      <c r="P31" s="15">
        <v>0</v>
      </c>
      <c r="Q31" s="21"/>
      <c r="R31" s="15">
        <v>0</v>
      </c>
      <c r="S31" s="17"/>
      <c r="T31" s="17"/>
      <c r="U31" s="16"/>
      <c r="V31" s="16"/>
      <c r="W31" s="16"/>
      <c r="X31" s="16"/>
      <c r="Y31" s="16"/>
      <c r="Z31" s="16"/>
      <c r="AA31" s="17"/>
      <c r="AB31" s="17"/>
      <c r="AC31" s="17"/>
      <c r="AD31" s="16"/>
      <c r="AE31" s="16"/>
      <c r="AF31" s="16"/>
      <c r="AG31" s="16"/>
      <c r="AH31" s="16"/>
      <c r="AI31" s="16"/>
      <c r="AJ31" s="17"/>
      <c r="AK31" s="16"/>
      <c r="AL31" s="14"/>
    </row>
    <row r="32" spans="1:38" ht="15.75" customHeight="1">
      <c r="A32" s="15">
        <v>1424</v>
      </c>
      <c r="B32" s="15">
        <v>34493</v>
      </c>
      <c r="C32" s="15">
        <v>215</v>
      </c>
      <c r="D32" s="20">
        <v>46036.354166666664</v>
      </c>
      <c r="E32" s="20">
        <v>46036.729166666664</v>
      </c>
      <c r="F32" s="15">
        <v>60</v>
      </c>
      <c r="G32" s="14" t="s">
        <v>211</v>
      </c>
      <c r="H32" s="14" t="s">
        <v>211</v>
      </c>
      <c r="I32" s="15">
        <v>0</v>
      </c>
      <c r="J32" s="15">
        <v>0</v>
      </c>
      <c r="K32" s="15">
        <v>1</v>
      </c>
      <c r="L32" s="20">
        <v>46057.710416666669</v>
      </c>
      <c r="M32" s="15">
        <v>0</v>
      </c>
      <c r="N32" s="15">
        <v>0</v>
      </c>
      <c r="O32" s="15">
        <v>2</v>
      </c>
      <c r="P32" s="15">
        <v>0</v>
      </c>
      <c r="Q32" s="21"/>
      <c r="R32" s="15">
        <v>0</v>
      </c>
      <c r="S32" s="17"/>
      <c r="T32" s="17"/>
      <c r="U32" s="16"/>
      <c r="V32" s="16"/>
      <c r="W32" s="16"/>
      <c r="X32" s="16"/>
      <c r="Y32" s="16"/>
      <c r="Z32" s="16"/>
      <c r="AA32" s="17"/>
      <c r="AB32" s="17"/>
      <c r="AC32" s="17"/>
      <c r="AD32" s="16"/>
      <c r="AE32" s="16"/>
      <c r="AF32" s="16"/>
      <c r="AG32" s="16"/>
      <c r="AH32" s="16"/>
      <c r="AI32" s="16"/>
      <c r="AJ32" s="17"/>
      <c r="AK32" s="16"/>
      <c r="AL32" s="14"/>
    </row>
    <row r="33" spans="1:38" ht="15.75" customHeight="1">
      <c r="A33" s="15">
        <v>1424</v>
      </c>
      <c r="B33" s="15">
        <v>34493</v>
      </c>
      <c r="C33" s="15">
        <v>215</v>
      </c>
      <c r="D33" s="20">
        <v>46037.354166666664</v>
      </c>
      <c r="E33" s="20">
        <v>46037.729166666664</v>
      </c>
      <c r="F33" s="15">
        <v>60</v>
      </c>
      <c r="G33" s="14" t="s">
        <v>211</v>
      </c>
      <c r="H33" s="14" t="s">
        <v>211</v>
      </c>
      <c r="I33" s="15">
        <v>0</v>
      </c>
      <c r="J33" s="15">
        <v>0</v>
      </c>
      <c r="K33" s="15">
        <v>1</v>
      </c>
      <c r="L33" s="20">
        <v>46057.710416666669</v>
      </c>
      <c r="M33" s="15">
        <v>0</v>
      </c>
      <c r="N33" s="15">
        <v>0</v>
      </c>
      <c r="O33" s="15">
        <v>2</v>
      </c>
      <c r="P33" s="15">
        <v>0</v>
      </c>
      <c r="Q33" s="21"/>
      <c r="R33" s="15">
        <v>0</v>
      </c>
      <c r="S33" s="17"/>
      <c r="T33" s="17"/>
      <c r="U33" s="16"/>
      <c r="V33" s="16"/>
      <c r="W33" s="16"/>
      <c r="X33" s="16"/>
      <c r="Y33" s="16"/>
      <c r="Z33" s="16"/>
      <c r="AA33" s="17"/>
      <c r="AB33" s="17"/>
      <c r="AC33" s="17"/>
      <c r="AD33" s="16"/>
      <c r="AE33" s="16"/>
      <c r="AF33" s="16"/>
      <c r="AG33" s="16"/>
      <c r="AH33" s="16"/>
      <c r="AI33" s="16"/>
      <c r="AJ33" s="17"/>
      <c r="AK33" s="16"/>
      <c r="AL33" s="14"/>
    </row>
    <row r="34" spans="1:38" ht="15.75" customHeight="1">
      <c r="A34" s="15">
        <v>1424</v>
      </c>
      <c r="B34" s="15">
        <v>34493</v>
      </c>
      <c r="C34" s="15">
        <v>215</v>
      </c>
      <c r="D34" s="20">
        <v>46038.354166666664</v>
      </c>
      <c r="E34" s="20">
        <v>46038.729166666664</v>
      </c>
      <c r="F34" s="15">
        <v>60</v>
      </c>
      <c r="G34" s="14" t="s">
        <v>211</v>
      </c>
      <c r="H34" s="14" t="s">
        <v>211</v>
      </c>
      <c r="I34" s="15">
        <v>0</v>
      </c>
      <c r="J34" s="15">
        <v>0</v>
      </c>
      <c r="K34" s="15">
        <v>1</v>
      </c>
      <c r="L34" s="20">
        <v>46057.710416666669</v>
      </c>
      <c r="M34" s="15">
        <v>0</v>
      </c>
      <c r="N34" s="15">
        <v>0</v>
      </c>
      <c r="O34" s="15">
        <v>2</v>
      </c>
      <c r="P34" s="15">
        <v>0</v>
      </c>
      <c r="Q34" s="21"/>
      <c r="R34" s="15">
        <v>0</v>
      </c>
      <c r="S34" s="17"/>
      <c r="T34" s="17"/>
      <c r="U34" s="16"/>
      <c r="V34" s="16"/>
      <c r="W34" s="16"/>
      <c r="X34" s="16"/>
      <c r="Y34" s="16"/>
      <c r="Z34" s="16"/>
      <c r="AA34" s="17"/>
      <c r="AB34" s="17"/>
      <c r="AC34" s="17"/>
      <c r="AD34" s="16"/>
      <c r="AE34" s="16"/>
      <c r="AF34" s="16"/>
      <c r="AG34" s="16"/>
      <c r="AH34" s="16"/>
      <c r="AI34" s="16"/>
      <c r="AJ34" s="17"/>
      <c r="AK34" s="16"/>
      <c r="AL34" s="14"/>
    </row>
    <row r="35" spans="1:38" ht="15.75" customHeight="1">
      <c r="A35" s="15">
        <v>1424</v>
      </c>
      <c r="B35" s="15">
        <v>34493</v>
      </c>
      <c r="C35" s="15">
        <v>215</v>
      </c>
      <c r="D35" s="20">
        <v>46041.354166666664</v>
      </c>
      <c r="E35" s="20">
        <v>46041.729166666664</v>
      </c>
      <c r="F35" s="15">
        <v>60</v>
      </c>
      <c r="G35" s="14" t="s">
        <v>211</v>
      </c>
      <c r="H35" s="14" t="s">
        <v>211</v>
      </c>
      <c r="I35" s="15">
        <v>0</v>
      </c>
      <c r="J35" s="15">
        <v>0</v>
      </c>
      <c r="K35" s="15">
        <v>1</v>
      </c>
      <c r="L35" s="20">
        <v>46057.710416666669</v>
      </c>
      <c r="M35" s="15">
        <v>0</v>
      </c>
      <c r="N35" s="15">
        <v>0</v>
      </c>
      <c r="O35" s="15">
        <v>2</v>
      </c>
      <c r="P35" s="15">
        <v>0</v>
      </c>
      <c r="Q35" s="21"/>
      <c r="R35" s="15">
        <v>0</v>
      </c>
      <c r="S35" s="17"/>
      <c r="T35" s="17"/>
      <c r="U35" s="16"/>
      <c r="V35" s="16"/>
      <c r="W35" s="16"/>
      <c r="X35" s="16"/>
      <c r="Y35" s="16"/>
      <c r="Z35" s="16"/>
      <c r="AA35" s="17"/>
      <c r="AB35" s="17"/>
      <c r="AC35" s="17"/>
      <c r="AD35" s="16"/>
      <c r="AE35" s="16"/>
      <c r="AF35" s="16"/>
      <c r="AG35" s="16"/>
      <c r="AH35" s="16"/>
      <c r="AI35" s="16"/>
      <c r="AJ35" s="17"/>
      <c r="AK35" s="16"/>
      <c r="AL35" s="14"/>
    </row>
    <row r="36" spans="1:38" ht="18">
      <c r="A36" s="15">
        <v>1424</v>
      </c>
      <c r="B36" s="15">
        <v>34493</v>
      </c>
      <c r="C36" s="15">
        <v>215</v>
      </c>
      <c r="D36" s="20">
        <v>46042.354166666664</v>
      </c>
      <c r="E36" s="20">
        <v>46042.729166666664</v>
      </c>
      <c r="F36" s="15">
        <v>60</v>
      </c>
      <c r="G36" s="14" t="s">
        <v>211</v>
      </c>
      <c r="H36" s="14" t="s">
        <v>211</v>
      </c>
      <c r="I36" s="15">
        <v>0</v>
      </c>
      <c r="J36" s="15">
        <v>0</v>
      </c>
      <c r="K36" s="15">
        <v>1</v>
      </c>
      <c r="L36" s="20">
        <v>46057.710416666669</v>
      </c>
      <c r="M36" s="15">
        <v>0</v>
      </c>
      <c r="N36" s="15">
        <v>0</v>
      </c>
      <c r="O36" s="15">
        <v>2</v>
      </c>
      <c r="P36" s="15">
        <v>0</v>
      </c>
      <c r="Q36" s="21"/>
      <c r="R36" s="15">
        <v>0</v>
      </c>
      <c r="S36" s="17"/>
      <c r="T36" s="17"/>
      <c r="U36" s="16"/>
      <c r="V36" s="16"/>
      <c r="W36" s="16"/>
      <c r="X36" s="16"/>
      <c r="Y36" s="16"/>
      <c r="Z36" s="16"/>
      <c r="AA36" s="17"/>
      <c r="AB36" s="17"/>
      <c r="AC36" s="17"/>
      <c r="AD36" s="16"/>
      <c r="AE36" s="16"/>
      <c r="AF36" s="16"/>
      <c r="AG36" s="16"/>
      <c r="AH36" s="16"/>
      <c r="AI36" s="16"/>
      <c r="AJ36" s="17"/>
      <c r="AK36" s="16"/>
      <c r="AL36" s="14"/>
    </row>
    <row r="37" spans="1:38" ht="18">
      <c r="A37" s="15">
        <v>1424</v>
      </c>
      <c r="B37" s="15">
        <v>34493</v>
      </c>
      <c r="C37" s="15">
        <v>215</v>
      </c>
      <c r="D37" s="20">
        <v>46043.354166666664</v>
      </c>
      <c r="E37" s="20">
        <v>46043.729166666664</v>
      </c>
      <c r="F37" s="15">
        <v>60</v>
      </c>
      <c r="G37" s="14" t="s">
        <v>211</v>
      </c>
      <c r="H37" s="14" t="s">
        <v>211</v>
      </c>
      <c r="I37" s="15">
        <v>0</v>
      </c>
      <c r="J37" s="15">
        <v>0</v>
      </c>
      <c r="K37" s="15">
        <v>1</v>
      </c>
      <c r="L37" s="20">
        <v>46057.710416666669</v>
      </c>
      <c r="M37" s="15">
        <v>0</v>
      </c>
      <c r="N37" s="15">
        <v>0</v>
      </c>
      <c r="O37" s="15">
        <v>2</v>
      </c>
      <c r="P37" s="15">
        <v>0</v>
      </c>
      <c r="Q37" s="21"/>
      <c r="R37" s="15">
        <v>0</v>
      </c>
      <c r="S37" s="17"/>
      <c r="T37" s="17"/>
      <c r="U37" s="16"/>
      <c r="V37" s="16"/>
      <c r="W37" s="16"/>
      <c r="X37" s="16"/>
      <c r="Y37" s="16"/>
      <c r="Z37" s="16"/>
      <c r="AA37" s="17"/>
      <c r="AB37" s="17"/>
      <c r="AC37" s="17"/>
      <c r="AD37" s="16"/>
      <c r="AE37" s="16"/>
      <c r="AF37" s="16"/>
      <c r="AG37" s="16"/>
      <c r="AH37" s="16"/>
      <c r="AI37" s="16"/>
      <c r="AJ37" s="17"/>
      <c r="AK37" s="16"/>
      <c r="AL37" s="14"/>
    </row>
    <row r="38" spans="1:38" ht="18">
      <c r="A38" s="15">
        <v>1424</v>
      </c>
      <c r="B38" s="15">
        <v>34493</v>
      </c>
      <c r="C38" s="15">
        <v>215</v>
      </c>
      <c r="D38" s="20">
        <v>46044.354166666664</v>
      </c>
      <c r="E38" s="20">
        <v>46044.625</v>
      </c>
      <c r="F38" s="15">
        <v>60</v>
      </c>
      <c r="G38" s="14" t="s">
        <v>211</v>
      </c>
      <c r="H38" s="14" t="s">
        <v>211</v>
      </c>
      <c r="I38" s="15">
        <v>0</v>
      </c>
      <c r="J38" s="15">
        <v>0</v>
      </c>
      <c r="K38" s="15">
        <v>1</v>
      </c>
      <c r="L38" s="20">
        <v>46057.710416666669</v>
      </c>
      <c r="M38" s="15">
        <v>0</v>
      </c>
      <c r="N38" s="15">
        <v>0</v>
      </c>
      <c r="O38" s="15">
        <v>2</v>
      </c>
      <c r="P38" s="15">
        <v>0</v>
      </c>
      <c r="Q38" s="21"/>
      <c r="R38" s="15">
        <v>0</v>
      </c>
      <c r="S38" s="17"/>
      <c r="T38" s="17"/>
      <c r="U38" s="16"/>
      <c r="V38" s="16"/>
      <c r="W38" s="16"/>
      <c r="X38" s="16"/>
      <c r="Y38" s="16"/>
      <c r="Z38" s="16"/>
      <c r="AA38" s="17"/>
      <c r="AB38" s="17"/>
      <c r="AC38" s="17"/>
      <c r="AD38" s="16"/>
      <c r="AE38" s="16"/>
      <c r="AF38" s="16"/>
      <c r="AG38" s="16"/>
      <c r="AH38" s="16"/>
      <c r="AI38" s="16"/>
      <c r="AJ38" s="17"/>
      <c r="AK38" s="16"/>
      <c r="AL38" s="14"/>
    </row>
    <row r="39" spans="1:38" ht="18">
      <c r="A39" s="15">
        <v>1424</v>
      </c>
      <c r="B39" s="15">
        <v>34493</v>
      </c>
      <c r="C39" s="15">
        <v>215</v>
      </c>
      <c r="D39" s="20">
        <v>46045.354166666664</v>
      </c>
      <c r="E39" s="20">
        <v>46045.729166666664</v>
      </c>
      <c r="F39" s="15">
        <v>60</v>
      </c>
      <c r="G39" s="14" t="s">
        <v>211</v>
      </c>
      <c r="H39" s="14" t="s">
        <v>211</v>
      </c>
      <c r="I39" s="15">
        <v>0</v>
      </c>
      <c r="J39" s="15">
        <v>0</v>
      </c>
      <c r="K39" s="15">
        <v>1</v>
      </c>
      <c r="L39" s="20">
        <v>46057.710416666669</v>
      </c>
      <c r="M39" s="15">
        <v>0</v>
      </c>
      <c r="N39" s="15">
        <v>0</v>
      </c>
      <c r="O39" s="15">
        <v>2</v>
      </c>
      <c r="P39" s="15">
        <v>0</v>
      </c>
      <c r="Q39" s="21"/>
      <c r="R39" s="15">
        <v>0</v>
      </c>
      <c r="S39" s="17"/>
      <c r="T39" s="17"/>
      <c r="U39" s="16"/>
      <c r="V39" s="16"/>
      <c r="W39" s="16"/>
      <c r="X39" s="16"/>
      <c r="Y39" s="16"/>
      <c r="Z39" s="16"/>
      <c r="AA39" s="17"/>
      <c r="AB39" s="17"/>
      <c r="AC39" s="17"/>
      <c r="AD39" s="16"/>
      <c r="AE39" s="16"/>
      <c r="AF39" s="16"/>
      <c r="AG39" s="16"/>
      <c r="AH39" s="16"/>
      <c r="AI39" s="16"/>
      <c r="AJ39" s="17"/>
      <c r="AK39" s="16"/>
      <c r="AL39" s="14"/>
    </row>
    <row r="40" spans="1:38" ht="18">
      <c r="A40" s="15">
        <v>1424</v>
      </c>
      <c r="B40" s="15">
        <v>34493</v>
      </c>
      <c r="C40" s="15">
        <v>215</v>
      </c>
      <c r="D40" s="20">
        <v>46048.354166666664</v>
      </c>
      <c r="E40" s="20">
        <v>46048.729166666664</v>
      </c>
      <c r="F40" s="15">
        <v>60</v>
      </c>
      <c r="G40" s="14" t="s">
        <v>211</v>
      </c>
      <c r="H40" s="14" t="s">
        <v>211</v>
      </c>
      <c r="I40" s="15">
        <v>0</v>
      </c>
      <c r="J40" s="15">
        <v>0</v>
      </c>
      <c r="K40" s="15">
        <v>1</v>
      </c>
      <c r="L40" s="20">
        <v>46057.710416666669</v>
      </c>
      <c r="M40" s="15">
        <v>0</v>
      </c>
      <c r="N40" s="15">
        <v>0</v>
      </c>
      <c r="O40" s="15">
        <v>2</v>
      </c>
      <c r="P40" s="15">
        <v>0</v>
      </c>
      <c r="Q40" s="21"/>
      <c r="R40" s="15">
        <v>0</v>
      </c>
      <c r="S40" s="17"/>
      <c r="T40" s="17"/>
      <c r="U40" s="16"/>
      <c r="V40" s="16"/>
      <c r="W40" s="16"/>
      <c r="X40" s="16"/>
      <c r="Y40" s="16"/>
      <c r="Z40" s="16"/>
      <c r="AA40" s="17"/>
      <c r="AB40" s="17"/>
      <c r="AC40" s="17"/>
      <c r="AD40" s="16"/>
      <c r="AE40" s="16"/>
      <c r="AF40" s="16"/>
      <c r="AG40" s="16"/>
      <c r="AH40" s="16"/>
      <c r="AI40" s="16"/>
      <c r="AJ40" s="17"/>
      <c r="AK40" s="16"/>
      <c r="AL40" s="14"/>
    </row>
    <row r="41" spans="1:38" ht="18">
      <c r="A41" s="15">
        <v>1424</v>
      </c>
      <c r="B41" s="15">
        <v>34493</v>
      </c>
      <c r="C41" s="15">
        <v>215</v>
      </c>
      <c r="D41" s="20">
        <v>46049.354166666664</v>
      </c>
      <c r="E41" s="20">
        <v>46049.5</v>
      </c>
      <c r="F41" s="15">
        <v>0</v>
      </c>
      <c r="G41" s="14" t="s">
        <v>211</v>
      </c>
      <c r="H41" s="14" t="s">
        <v>211</v>
      </c>
      <c r="I41" s="15">
        <v>0</v>
      </c>
      <c r="J41" s="15">
        <v>0</v>
      </c>
      <c r="K41" s="15">
        <v>1</v>
      </c>
      <c r="L41" s="20">
        <v>46057.710416666669</v>
      </c>
      <c r="M41" s="15">
        <v>0</v>
      </c>
      <c r="N41" s="15">
        <v>0</v>
      </c>
      <c r="O41" s="15">
        <v>2</v>
      </c>
      <c r="P41" s="15">
        <v>0</v>
      </c>
      <c r="Q41" s="21"/>
      <c r="R41" s="15">
        <v>0</v>
      </c>
      <c r="S41" s="17"/>
      <c r="T41" s="17"/>
      <c r="U41" s="16"/>
      <c r="V41" s="16"/>
      <c r="W41" s="16"/>
      <c r="X41" s="16"/>
      <c r="Y41" s="16"/>
      <c r="Z41" s="16"/>
      <c r="AA41" s="17"/>
      <c r="AB41" s="17"/>
      <c r="AC41" s="17"/>
      <c r="AD41" s="16"/>
      <c r="AE41" s="16"/>
      <c r="AF41" s="16"/>
      <c r="AG41" s="16"/>
      <c r="AH41" s="16"/>
      <c r="AI41" s="16"/>
      <c r="AJ41" s="17"/>
      <c r="AK41" s="16"/>
      <c r="AL41" s="14"/>
    </row>
    <row r="42" spans="1:38" ht="18">
      <c r="A42" s="15">
        <v>1424</v>
      </c>
      <c r="B42" s="15">
        <v>34493</v>
      </c>
      <c r="C42" s="15">
        <v>215</v>
      </c>
      <c r="D42" s="20">
        <v>46050.354166666664</v>
      </c>
      <c r="E42" s="20">
        <v>46050.729166666664</v>
      </c>
      <c r="F42" s="15">
        <v>60</v>
      </c>
      <c r="G42" s="14" t="s">
        <v>211</v>
      </c>
      <c r="H42" s="14" t="s">
        <v>211</v>
      </c>
      <c r="I42" s="15">
        <v>0</v>
      </c>
      <c r="J42" s="15">
        <v>0</v>
      </c>
      <c r="K42" s="15">
        <v>1</v>
      </c>
      <c r="L42" s="20">
        <v>46057.710416666669</v>
      </c>
      <c r="M42" s="15">
        <v>0</v>
      </c>
      <c r="N42" s="15">
        <v>0</v>
      </c>
      <c r="O42" s="15">
        <v>2</v>
      </c>
      <c r="P42" s="15">
        <v>0</v>
      </c>
      <c r="Q42" s="21"/>
      <c r="R42" s="15">
        <v>0</v>
      </c>
      <c r="S42" s="17"/>
      <c r="T42" s="17"/>
      <c r="U42" s="16"/>
      <c r="V42" s="16"/>
      <c r="W42" s="16"/>
      <c r="X42" s="16"/>
      <c r="Y42" s="16"/>
      <c r="Z42" s="16"/>
      <c r="AA42" s="17"/>
      <c r="AB42" s="17"/>
      <c r="AC42" s="17"/>
      <c r="AD42" s="16"/>
      <c r="AE42" s="16"/>
      <c r="AF42" s="16"/>
      <c r="AG42" s="16"/>
      <c r="AH42" s="16"/>
      <c r="AI42" s="16"/>
      <c r="AJ42" s="17"/>
      <c r="AK42" s="16"/>
      <c r="AL42" s="14"/>
    </row>
    <row r="43" spans="1:38" ht="18">
      <c r="A43" s="15">
        <v>1424</v>
      </c>
      <c r="B43" s="15">
        <v>34493</v>
      </c>
      <c r="C43" s="15">
        <v>215</v>
      </c>
      <c r="D43" s="20">
        <v>46051.354166666664</v>
      </c>
      <c r="E43" s="20">
        <v>46051.729166666664</v>
      </c>
      <c r="F43" s="15">
        <v>60</v>
      </c>
      <c r="G43" s="14" t="s">
        <v>211</v>
      </c>
      <c r="H43" s="14" t="s">
        <v>211</v>
      </c>
      <c r="I43" s="15">
        <v>0</v>
      </c>
      <c r="J43" s="15">
        <v>0</v>
      </c>
      <c r="K43" s="15">
        <v>1</v>
      </c>
      <c r="L43" s="20">
        <v>46057.710416666669</v>
      </c>
      <c r="M43" s="15">
        <v>0</v>
      </c>
      <c r="N43" s="15">
        <v>0</v>
      </c>
      <c r="O43" s="15">
        <v>2</v>
      </c>
      <c r="P43" s="15">
        <v>0</v>
      </c>
      <c r="Q43" s="21"/>
      <c r="R43" s="15">
        <v>0</v>
      </c>
      <c r="S43" s="17"/>
      <c r="T43" s="17"/>
      <c r="U43" s="16"/>
      <c r="V43" s="16"/>
      <c r="W43" s="16"/>
      <c r="X43" s="16"/>
      <c r="Y43" s="16"/>
      <c r="Z43" s="16"/>
      <c r="AA43" s="17"/>
      <c r="AB43" s="17"/>
      <c r="AC43" s="17"/>
      <c r="AD43" s="16"/>
      <c r="AE43" s="16"/>
      <c r="AF43" s="16"/>
      <c r="AG43" s="16"/>
      <c r="AH43" s="16"/>
      <c r="AI43" s="16"/>
      <c r="AJ43" s="17"/>
      <c r="AK43" s="16"/>
      <c r="AL43" s="14"/>
    </row>
    <row r="44" spans="1:38" ht="18">
      <c r="A44" s="15">
        <v>1424</v>
      </c>
      <c r="B44" s="15">
        <v>34493</v>
      </c>
      <c r="C44" s="15">
        <v>215</v>
      </c>
      <c r="D44" s="20">
        <v>46052.354166666664</v>
      </c>
      <c r="E44" s="20">
        <v>46052.729166666664</v>
      </c>
      <c r="F44" s="15">
        <v>60</v>
      </c>
      <c r="G44" s="14" t="s">
        <v>211</v>
      </c>
      <c r="H44" s="14" t="s">
        <v>211</v>
      </c>
      <c r="I44" s="15">
        <v>0</v>
      </c>
      <c r="J44" s="15">
        <v>0</v>
      </c>
      <c r="K44" s="15">
        <v>1</v>
      </c>
      <c r="L44" s="20">
        <v>46057.710416666669</v>
      </c>
      <c r="M44" s="15">
        <v>0</v>
      </c>
      <c r="N44" s="15">
        <v>0</v>
      </c>
      <c r="O44" s="15">
        <v>2</v>
      </c>
      <c r="P44" s="15">
        <v>0</v>
      </c>
      <c r="Q44" s="21"/>
      <c r="R44" s="15">
        <v>0</v>
      </c>
      <c r="S44" s="17"/>
      <c r="T44" s="17"/>
      <c r="U44" s="16"/>
      <c r="V44" s="16"/>
      <c r="W44" s="16"/>
      <c r="X44" s="16"/>
      <c r="Y44" s="16"/>
      <c r="Z44" s="16"/>
      <c r="AA44" s="17"/>
      <c r="AB44" s="17"/>
      <c r="AC44" s="17"/>
      <c r="AD44" s="16"/>
      <c r="AE44" s="16"/>
      <c r="AF44" s="16"/>
      <c r="AG44" s="16"/>
      <c r="AH44" s="16"/>
      <c r="AI44" s="16"/>
      <c r="AJ44" s="17"/>
      <c r="AK44" s="16"/>
      <c r="AL44" s="14"/>
    </row>
    <row r="45" spans="1:38" ht="18">
      <c r="A45" s="15">
        <v>1422</v>
      </c>
      <c r="B45" s="15">
        <v>35363</v>
      </c>
      <c r="C45" s="15">
        <v>215</v>
      </c>
      <c r="D45" s="16"/>
      <c r="E45" s="16"/>
      <c r="F45" s="16"/>
      <c r="G45" s="16"/>
      <c r="H45" s="16"/>
      <c r="I45" s="16"/>
      <c r="J45" s="16"/>
      <c r="K45" s="16"/>
      <c r="L45" s="16"/>
      <c r="M45" s="16"/>
      <c r="N45" s="16"/>
      <c r="O45" s="16"/>
      <c r="P45" s="16"/>
      <c r="Q45" s="16"/>
      <c r="R45" s="16"/>
      <c r="S45" s="16"/>
      <c r="T45" s="18">
        <v>46048</v>
      </c>
      <c r="U45" s="15">
        <v>15200</v>
      </c>
      <c r="V45" s="15">
        <v>10800</v>
      </c>
      <c r="W45" s="15">
        <v>0</v>
      </c>
      <c r="X45" s="15">
        <v>1</v>
      </c>
      <c r="Y45" s="16"/>
      <c r="Z45" s="16"/>
      <c r="AA45" s="16"/>
      <c r="AB45" s="16"/>
      <c r="AC45" s="16"/>
      <c r="AD45" s="16"/>
      <c r="AE45" s="16"/>
      <c r="AF45" s="16"/>
      <c r="AG45" s="16"/>
      <c r="AH45" s="16"/>
      <c r="AI45" s="16"/>
      <c r="AJ45" s="16"/>
      <c r="AK45" s="16"/>
    </row>
    <row r="46" spans="1:38" ht="18">
      <c r="A46" s="15">
        <v>1423</v>
      </c>
      <c r="B46" s="15">
        <v>34857</v>
      </c>
      <c r="C46" s="15">
        <v>215</v>
      </c>
      <c r="D46" s="16"/>
      <c r="E46" s="16"/>
      <c r="F46" s="16"/>
      <c r="G46" s="16"/>
      <c r="H46" s="16"/>
      <c r="I46" s="16"/>
      <c r="J46" s="16"/>
      <c r="K46" s="16"/>
      <c r="L46" s="16"/>
      <c r="M46" s="16"/>
      <c r="N46" s="16"/>
      <c r="O46" s="16"/>
      <c r="P46" s="16"/>
      <c r="Q46" s="16"/>
      <c r="R46" s="16"/>
      <c r="S46" s="16"/>
      <c r="T46" s="18">
        <v>46031</v>
      </c>
      <c r="U46" s="15">
        <v>16000</v>
      </c>
      <c r="V46" s="15">
        <v>11200</v>
      </c>
      <c r="W46" s="15">
        <v>0</v>
      </c>
      <c r="X46" s="15">
        <v>1</v>
      </c>
      <c r="Y46" s="16"/>
      <c r="Z46" s="16"/>
      <c r="AA46" s="16"/>
      <c r="AB46" s="16"/>
      <c r="AC46" s="16"/>
      <c r="AD46" s="16"/>
      <c r="AE46" s="16"/>
      <c r="AF46" s="16"/>
      <c r="AG46" s="16"/>
      <c r="AH46" s="16"/>
      <c r="AI46" s="16"/>
      <c r="AJ46" s="16"/>
      <c r="AK46" s="16"/>
    </row>
    <row r="47" spans="1:38" ht="18">
      <c r="A47" s="15">
        <v>1423</v>
      </c>
      <c r="B47" s="15">
        <v>34857</v>
      </c>
      <c r="C47" s="15">
        <v>215</v>
      </c>
      <c r="D47" s="16"/>
      <c r="E47" s="16"/>
      <c r="F47" s="16"/>
      <c r="G47" s="16"/>
      <c r="H47" s="16"/>
      <c r="I47" s="16"/>
      <c r="J47" s="16"/>
      <c r="K47" s="16"/>
      <c r="L47" s="16"/>
      <c r="M47" s="16"/>
      <c r="N47" s="16"/>
      <c r="O47" s="16"/>
      <c r="P47" s="16"/>
      <c r="Q47" s="16"/>
      <c r="R47" s="16"/>
      <c r="S47" s="16"/>
      <c r="T47" s="18">
        <v>46052</v>
      </c>
      <c r="U47" s="15">
        <v>16000</v>
      </c>
      <c r="V47" s="15">
        <v>11200</v>
      </c>
      <c r="W47" s="15">
        <v>0</v>
      </c>
      <c r="X47" s="15">
        <v>1</v>
      </c>
      <c r="Y47" s="16"/>
      <c r="Z47" s="16"/>
      <c r="AA47" s="16"/>
      <c r="AB47" s="16"/>
      <c r="AC47" s="16"/>
      <c r="AD47" s="16"/>
      <c r="AE47" s="16"/>
      <c r="AF47" s="16"/>
      <c r="AG47" s="16"/>
      <c r="AH47" s="16"/>
      <c r="AI47" s="16"/>
      <c r="AJ47" s="16"/>
      <c r="AK47" s="16"/>
    </row>
  </sheetData>
  <phoneticPr fontId="1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
  <sheetViews>
    <sheetView workbookViewId="0"/>
  </sheetViews>
  <sheetFormatPr defaultColWidth="12.6328125" defaultRowHeight="15.75" customHeight="1"/>
  <sheetData>
    <row r="1" spans="1:1" ht="15.75" customHeight="1">
      <c r="A1" s="1" t="s">
        <v>250</v>
      </c>
    </row>
  </sheetData>
  <phoneticPr fontId="1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24"/>
  <sheetViews>
    <sheetView workbookViewId="0"/>
  </sheetViews>
  <sheetFormatPr defaultColWidth="12.6328125" defaultRowHeight="15.75" customHeight="1" outlineLevelCol="1"/>
  <cols>
    <col min="1" max="1" width="22.6328125" customWidth="1"/>
    <col min="2" max="2" width="407" customWidth="1" outlineLevel="1"/>
    <col min="3" max="3" width="242.90625" customWidth="1" outlineLevel="1"/>
    <col min="4" max="4" width="72.6328125" customWidth="1"/>
    <col min="5" max="5" width="79.26953125" customWidth="1"/>
  </cols>
  <sheetData>
    <row r="1" spans="1:5" ht="14">
      <c r="A1" s="22" t="s">
        <v>251</v>
      </c>
      <c r="B1" s="22" t="s">
        <v>252</v>
      </c>
      <c r="C1" s="22" t="s">
        <v>253</v>
      </c>
      <c r="D1" s="22" t="s">
        <v>254</v>
      </c>
      <c r="E1" s="22" t="s">
        <v>255</v>
      </c>
    </row>
    <row r="2" spans="1:5" ht="15.75" customHeight="1">
      <c r="A2" s="6" t="s">
        <v>256</v>
      </c>
      <c r="B2" s="6" t="s">
        <v>257</v>
      </c>
      <c r="C2" s="6" t="s">
        <v>258</v>
      </c>
      <c r="D2" s="7" t="str">
        <f ca="1">IFERROR(__xludf.DUMMYFUNCTION("AI(""箇条書きで2-3行程度で要約する"",B2)"),"- プライバシー権の保護を徹底すること
  - 個人の身元やアイデンティティを侵害する行為を禁止すること")</f>
        <v>- プライバシー権の保護を徹底すること
  - 個人の身元やアイデンティティを侵害する行為を禁止すること</v>
      </c>
      <c r="E2" s="7" t="str">
        <f ca="1">IFERROR(__xludf.DUMMYFUNCTION("AI(""箇条書きで2-3行程度で要約する"",C2)"),"- 本サービスの利用時における情報の取り扱いについて規定している
  - 前ページの禁止事項を定めた「普遍的な使用基準」とは別の定めである")</f>
        <v>- 本サービスの利用時における情報の取り扱いについて規定している
  - 前ページの禁止事項を定めた「普遍的な使用基準」とは別の定めである</v>
      </c>
    </row>
    <row r="3" spans="1:5" ht="15.75" customHeight="1">
      <c r="A3" s="6" t="s">
        <v>256</v>
      </c>
      <c r="B3" s="6" t="s">
        <v>259</v>
      </c>
      <c r="C3" s="6" t="s">
        <v>260</v>
      </c>
      <c r="D3" s="7" t="str">
        <f ca="1">IFERROR(__xludf.DUMMYFUNCTION("AI(""箇条書きで2-3行程度で要約する"",B3)"),"- Anthropicの許可なく入出力をAIモデルのトレーニングに利用しない
  - モデルスクレイピングやモデル蒸留などの行為を禁止する")</f>
        <v>- Anthropicの許可なく入出力をAIモデルのトレーニングに利用しない
  - モデルスクレイピングやモデル蒸留などの行為を禁止する</v>
      </c>
      <c r="E3" s="7" t="str">
        <f ca="1">IFERROR(__xludf.DUMMYFUNCTION("AI(""箇条書きで2-3行程度で要約する"",C3)"),"- 本サービス上での入力および出力情報をAIモデルのトレーニングに利用することは禁止されている
  - 自社だけでなく、他社のAIツールを含めたいかなるモデルの学習にも使用してはならない")</f>
        <v>- 本サービス上での入力および出力情報をAIモデルのトレーニングに利用することは禁止されている
  - 自社だけでなく、他社のAIツールを含めたいかなるモデルの学習にも使用してはならない</v>
      </c>
    </row>
    <row r="4" spans="1:5" ht="15.75" customHeight="1">
      <c r="A4" s="6" t="s">
        <v>256</v>
      </c>
      <c r="B4" s="6" t="s">
        <v>261</v>
      </c>
      <c r="C4" s="6" t="s">
        <v>261</v>
      </c>
      <c r="D4" s="7" t="str">
        <f ca="1">IFERROR(__xludf.DUMMYFUNCTION("AI(""箇条書きで2-3行程度で要約する"",B4)"),"- 高リスク使用事例（特に雇用関連）に該当する場合は2点の遵守事項を確認すること
  - 利用方法がこれらに該当しない場合は特段の対応は不要であること
  - 詳細な定義や遵守事項については指定の箇所を必ず参照すること")</f>
        <v>- 高リスク使用事例（特に雇用関連）に該当する場合は2点の遵守事項を確認すること
  - 利用方法がこれらに該当しない場合は特段の対応は不要であること
  - 詳細な定義や遵守事項については指定の箇所を必ず参照すること</v>
      </c>
      <c r="E4" s="7" t="str">
        <f ca="1">IFERROR(__xludf.DUMMYFUNCTION("AI(""箇条書きで2-3行程度で要約する"",C4)"),"- 高リスク使用事例に該当する場合、定められた2点の遵守事項を守る必要がある
  - 当社においては「雇用」に関する利用が、高リスク使用事例に該当する可能性がある
  - 利用方法が高リスク使用事例に該当しない場合は、これらの留意事項は不要である")</f>
        <v>- 高リスク使用事例に該当する場合、定められた2点の遵守事項を守る必要がある
  - 当社においては「雇用」に関する利用が、高リスク使用事例に該当する可能性がある
  - 利用方法が高リスク使用事例に該当しない場合は、これらの留意事項は不要である</v>
      </c>
    </row>
    <row r="5" spans="1:5" ht="15.75" customHeight="1">
      <c r="A5" s="6" t="s">
        <v>256</v>
      </c>
      <c r="B5" s="6" t="s">
        <v>262</v>
      </c>
      <c r="C5" s="6" t="s">
        <v>263</v>
      </c>
      <c r="D5" s="7" t="str">
        <f ca="1">IFERROR(__xludf.DUMMYFUNCTION("AI(""箇条書きで2-3行程度で要約する"",B5)"),"- 消費者向けチャットボットはAIであることを明示する
  - 各チャットセッションの開始時に明示を行う")</f>
        <v>- 消費者向けチャットボットはAIであることを明示する
  - 各チャットセッションの開始時に明示を行う</v>
      </c>
      <c r="E5" s="7" t="str">
        <f ca="1">IFERROR(__xludf.DUMMYFUNCTION("AI(""箇条書きで2-3行程度で要約する"",C5)"),"- 将来的なチャットボット構築の可能性について言及している
  - 構築の予定がある場合は提示された規定を遵守することを求めている")</f>
        <v>- 将来的なチャットボット構築の可能性について言及している
  - 構築の予定がある場合は提示された規定を遵守することを求めている</v>
      </c>
    </row>
    <row r="6" spans="1:5" ht="15.75" customHeight="1">
      <c r="A6" s="6" t="s">
        <v>264</v>
      </c>
      <c r="B6" s="6" t="s">
        <v>265</v>
      </c>
      <c r="C6" s="6" t="s">
        <v>266</v>
      </c>
      <c r="D6" s="7" t="str">
        <f ca="1">IFERROR(__xludf.DUMMYFUNCTION("AI(""箇条書きで2-3行程度で要約する"",B6)"),"- 入出力データがモデル学習やサービス改善に利用される場合がある
  - アカウント設定からデータ利用のオプトアウトが可能である")</f>
        <v>- 入出力データがモデル学習やサービス改善に利用される場合がある
  - アカウント設定からデータ利用のオプトアウトが可能である</v>
      </c>
      <c r="E6" s="7" t="str">
        <f ca="1">IFERROR(__xludf.DUMMYFUNCTION("AI(""箇条書きで2-3行程度で要約する"",C6)"),"- サービスの利用に支障がない場合はアカウント設定からオプトアウトを行う
  - 機能制限等により利用目的が達成できなくなる場合はその限りではない")</f>
        <v>- サービスの利用に支障がない場合はアカウント設定からオプトアウトを行う
  - 機能制限等により利用目的が達成できなくなる場合はその限りではない</v>
      </c>
    </row>
    <row r="7" spans="1:5" ht="15.75" customHeight="1">
      <c r="A7" s="6" t="s">
        <v>264</v>
      </c>
      <c r="B7" s="6" t="s">
        <v>267</v>
      </c>
      <c r="C7" s="6" t="s">
        <v>268</v>
      </c>
      <c r="D7" s="7" t="str">
        <f ca="1">IFERROR(__xludf.DUMMYFUNCTION("AI(""箇条書きで2-3行程度で要約する"",B7)"),"- 個人データが米国等の国外サーバーへ転送される場合がある
  - EEAや英国以外の国々も転送先となる可能性がある")</f>
        <v>- 個人データが米国等の国外サーバーへ転送される場合がある
  - EEAや英国以外の国々も転送先となる可能性がある</v>
      </c>
      <c r="E7" s="7" t="str">
        <f ca="1">IFERROR(__xludf.DUMMYFUNCTION("AI(""箇条書きで2-3行程度で要約する"",C7)"),"- 日本国内で本サービスを利用する際、データの保管国を確認する必要がある
  - 確認対象には、利用者が入出力する情報や個人情報が含まれる")</f>
        <v>- 日本国内で本サービスを利用する際、データの保管国を確認する必要がある
  - 確認対象には、利用者が入出力する情報や個人情報が含まれる</v>
      </c>
    </row>
    <row r="8" spans="1:5" ht="15.75" customHeight="1">
      <c r="A8" s="6" t="s">
        <v>269</v>
      </c>
      <c r="B8" s="6" t="s">
        <v>270</v>
      </c>
      <c r="C8" s="7"/>
      <c r="D8" s="7" t="str">
        <f ca="1">IFERROR(__xludf.DUMMYFUNCTION("AI(""箇条書きで2-3行程度で要約する"",B8)"),"- 出力の適切性を評価し、必要に応じて人間によるレビューを行うこと
  - 事実に関する主張の正確性を独自に確認し、盲目的に依拠しないこと
  - 出力の不正確性や制限事項について、利用ユーザーに通知すること")</f>
        <v>- 出力の適切性を評価し、必要に応じて人間によるレビューを行うこと
  - 事実に関する主張の正確性を独自に確認し、盲目的に依拠しないこと
  - 出力の不正確性や制限事項について、利用ユーザーに通知すること</v>
      </c>
      <c r="E8" s="7" t="str">
        <f ca="1">IFERROR(__xludf.DUMMYFUNCTION("AI(""箇条書きで2-3行程度で要約する"",C8)"),"- 本サービスの利用時における情報の取り扱いを規定
  - 禁止事項を定めた普遍的な使用基準とは別の独立した定め")</f>
        <v>- 本サービスの利用時における情報の取り扱いを規定
  - 禁止事項を定めた普遍的な使用基準とは別の独立した定め</v>
      </c>
    </row>
    <row r="9" spans="1:5" ht="15.75" customHeight="1">
      <c r="A9" s="6" t="s">
        <v>269</v>
      </c>
      <c r="B9" s="6" t="s">
        <v>271</v>
      </c>
      <c r="C9" s="7"/>
      <c r="D9" s="7" t="str">
        <f ca="1">IFERROR(__xludf.DUMMYFUNCTION("AI(""箇条書きで2-3行程度で要約する"",B9)"),"- 競合製品の開発やAIモデルのトレーニング、サービスの再販を目的としたアクセスを禁止する
  - サービスのリバースエンジニアリングや複製を禁止する
  - 第三者によるこれらの制限行為の支援を禁止する")</f>
        <v>- 競合製品の開発やAIモデルのトレーニング、サービスの再販を目的としたアクセスを禁止する
  - サービスのリバースエンジニアリングや複製を禁止する
  - 第三者によるこれらの制限行為の支援を禁止する</v>
      </c>
      <c r="E9" s="7"/>
    </row>
    <row r="10" spans="1:5" ht="15.75" customHeight="1">
      <c r="A10" s="6" t="s">
        <v>269</v>
      </c>
      <c r="B10" s="6" t="s">
        <v>272</v>
      </c>
      <c r="C10" s="6" t="s">
        <v>273</v>
      </c>
      <c r="D10" s="7" t="str">
        <f ca="1">IFERROR(__xludf.DUMMYFUNCTION("AI(""箇条書きで2-3行程度で要約する"",B10)"),"- 開示者の機密情報に関する破棄要求の規定
  - 受領者は要求を受けた際、速やかに情報を破棄する義務がある")</f>
        <v>- 開示者の機密情報に関する破棄要求の規定
  - 受領者は要求を受けた際、速やかに情報を破棄する義務がある</v>
      </c>
      <c r="E10" s="7" t="str">
        <f ca="1">IFERROR(__xludf.DUMMYFUNCTION("AI(""箇条書きで2-3行程度で要約する"",C10)"),"- 顧客コンテンツは機密情報に該当し、相手方は要求に応じて破棄する義務がある
  - サービスの利用終了後などにデータを利用されないよう、削除要請を行う必要がある")</f>
        <v>- 顧客コンテンツは機密情報に該当し、相手方は要求に応じて破棄する義務がある
  - サービスの利用終了後などにデータを利用されないよう、削除要請を行う必要がある</v>
      </c>
    </row>
    <row r="11" spans="1:5" ht="15.75" customHeight="1">
      <c r="A11" s="6" t="s">
        <v>269</v>
      </c>
      <c r="B11" s="6" t="s">
        <v>274</v>
      </c>
      <c r="C11" s="6" t="s">
        <v>275</v>
      </c>
      <c r="D11" s="7" t="str">
        <f ca="1">IFERROR(__xludf.DUMMYFUNCTION("AI(""箇条書きで2-3行程度で要約する"",B11)"),"- モデル料金ページに記載の料金を支払う責任を負う
  - クレジットによる前払いを要求される場合があり、専用規約が適用される
  - 料金改定は掲載後30日または通知日のいずれか早い方から有効となる")</f>
        <v>- モデル料金ページに記載の料金を支払う責任を負う
  - クレジットによる前払いを要求される場合があり、専用規約が適用される
  - 料金改定は掲載後30日または通知日のいずれか早い方から有効となる</v>
      </c>
      <c r="E11" s="7" t="str">
        <f ca="1">IFERROR(__xludf.DUMMYFUNCTION("AI(""箇条書きで2-3行程度で要約する"",C11)"),"- 本サービスの利用料金は提供側が任意に変更できる
  - 料金変更の際は所定の内容に従って手続きが行われる
  - 変更に備えてあらかじめ内容を確認しておく必要がある")</f>
        <v>- 本サービスの利用料金は提供側が任意に変更できる
  - 料金変更の際は所定の内容に従って手続きが行われる
  - 変更に備えてあらかじめ内容を確認しておく必要がある</v>
      </c>
    </row>
    <row r="12" spans="1:5" ht="15.75" customHeight="1">
      <c r="A12" s="6" t="s">
        <v>269</v>
      </c>
      <c r="B12" s="6" t="s">
        <v>276</v>
      </c>
      <c r="C12" s="6" t="s">
        <v>277</v>
      </c>
      <c r="D12" s="7" t="str">
        <f ca="1">IFERROR(__xludf.DUMMYFUNCTION("AI(""箇条書きで2-3行程度で要約する"",B12)"),"- 各当事者は、通知を行うことでいつでも本規約を解除できる
  - Anthropic側から解除する場合は、30日前までに通知する必要がある")</f>
        <v>- 各当事者は、通知を行うことでいつでも本規約を解除できる
  - Anthropic側から解除する場合は、30日前までに通知する必要がある</v>
      </c>
      <c r="E12" s="7" t="str">
        <f ca="1">IFERROR(__xludf.DUMMYFUNCTION("AI(""箇条書きで2-3行程度で要約する"",C12)"),"- 本規約の解除規定において、即時解除が可能か30日前の通知が必要か不明確な点がある
  - 規約解除の際は、トラブルを避けるためある程度余裕をもって通知を行う必要がある")</f>
        <v>- 本規約の解除規定において、即時解除が可能か30日前の通知が必要か不明確な点がある
  - 規約解除の際は、トラブルを避けるためある程度余裕をもって通知を行う必要がある</v>
      </c>
    </row>
    <row r="13" spans="1:5" ht="15.75" customHeight="1">
      <c r="A13" s="6" t="s">
        <v>269</v>
      </c>
      <c r="B13" s="6" t="s">
        <v>278</v>
      </c>
      <c r="C13" s="6" t="s">
        <v>279</v>
      </c>
      <c r="D13" s="7" t="str">
        <f ca="1">IFERROR(__xludf.DUMMYFUNCTION("AI(""箇条書きで2-3行程度で要約する"",B13)"),"- サービスへインプットを送信するために必要な権利と許可を保有していることを表明し保証すること
  - インプット送信に関する正当な権限を有していることを確約すること")</f>
        <v>- サービスへインプットを送信するために必要な権利と許可を保有していることを表明し保証すること
  - インプット送信に関する正当な権限を有していることを確約すること</v>
      </c>
      <c r="E13" s="7" t="str">
        <f ca="1">IFERROR(__xludf.DUMMYFUNCTION("AI(""箇条書きで2-3行程度で要約する"",C13)"),"- 本サービスへ入力する情報の権利を自らが保有しているか、許諾を得ていることを保証する必要がある
  - 権利関係の保証に違反しないよう、入力情報の取り扱いに注意を払う必要がある")</f>
        <v>- 本サービスへ入力する情報の権利を自らが保有しているか、許諾を得ていることを保証する必要がある
  - 権利関係の保証に違反しないよう、入力情報の取り扱いに注意を払う必要がある</v>
      </c>
    </row>
    <row r="14" spans="1:5" ht="15.75" customHeight="1">
      <c r="A14" s="6" t="s">
        <v>269</v>
      </c>
      <c r="B14" s="6" t="s">
        <v>280</v>
      </c>
      <c r="C14" s="6" t="s">
        <v>281</v>
      </c>
      <c r="D14" s="7" t="str">
        <f ca="1">IFERROR(__xludf.DUMMYFUNCTION("AI(""箇条書きで2-3行程度で要約する"",B14)"),"- 通知、要求、権利放棄などの連絡はすべて書面で行う必要がある
  - 顧客への通知は登録住所へ、Anthropicへの通知は指定のメールアドレスへ送付する
  - 仲裁要求や救済措置の通知を除き、電子的な送付が認められる")</f>
        <v>- 通知、要求、権利放棄などの連絡はすべて書面で行う必要がある
  - 顧客への通知は登録住所へ、Anthropicへの通知は指定のメールアドレスへ送付する
  - 仲裁要求や救済措置の通知を除き、電子的な送付が認められる</v>
      </c>
      <c r="E14" s="7" t="str">
        <f ca="1">IFERROR(__xludf.DUMMYFUNCTION("AI(""箇条書きで2-3行程度で要約する"",C14)"),"- 本サービスの解約等の通知は書面で行う必要がある
  - 記載のアドレス宛に電子的に送付することも可能である")</f>
        <v>- 本サービスの解約等の通知は書面で行う必要がある
  - 記載のアドレス宛に電子的に送付することも可能である</v>
      </c>
    </row>
    <row r="15" spans="1:5" ht="15.75" customHeight="1">
      <c r="A15" s="6" t="s">
        <v>282</v>
      </c>
      <c r="B15" s="6" t="s">
        <v>283</v>
      </c>
      <c r="C15" s="6" t="s">
        <v>284</v>
      </c>
      <c r="D15" s="7" t="str">
        <f ca="1">IFERROR(__xludf.DUMMYFUNCTION("AI(""箇条書きで2-3行程度で要約する"",B15)"),"- 契約終了後30日以内に、要請があれば顧客データの返却またはセルフサービス機能を提供する
  - 法的義務や紛争解決、悪用対策に必要な場合を除き、全ての顧客データを削除する")</f>
        <v>- 契約終了後30日以内に、要請があれば顧客データの返却またはセルフサービス機能を提供する
  - 法的義務や紛争解決、悪用対策に必要な場合を除き、全ての顧客データを削除する</v>
      </c>
      <c r="E15" s="7" t="str">
        <f ca="1">IFERROR(__xludf.DUMMYFUNCTION("AI(""箇条書きで2-3行程度で要約する"",C15)"),"- サービス終了後、要望があれば顧客データのコピー返却・削除が可能
  - 本書の規定では元データの削除が含まれていないように見受けられる
  - コピーのみか、元データを含めた削除が可能かどうかの確認が必要である")</f>
        <v>- サービス終了後、要望があれば顧客データのコピー返却・削除が可能
  - 本書の規定では元データの削除が含まれていないように見受けられる
  - コピーのみか、元データを含めた削除が可能かどうかの確認が必要である</v>
      </c>
    </row>
    <row r="16" spans="1:5" ht="15.75" customHeight="1">
      <c r="A16" s="6" t="s">
        <v>285</v>
      </c>
      <c r="B16" s="6" t="s">
        <v>286</v>
      </c>
      <c r="C16" s="6" t="s">
        <v>287</v>
      </c>
      <c r="D16" s="7" t="str">
        <f ca="1">IFERROR(__xludf.DUMMYFUNCTION("AI(""箇条書きで2-3行程度で要約する"",B16)"),"- 顧客はユーザーに対し、管理者によるデータへのアクセス権限やAnthropicのポリシー準拠について通知する義務がある
  - サービス利用に関するユーザーの同意取得および、法令に定められた通知の実施は顧客が責任を負う")</f>
        <v>- 顧客はユーザーに対し、管理者によるデータへのアクセス権限やAnthropicのポリシー準拠について通知する義務がある
  - サービス利用に関するユーザーの同意取得および、法令に定められた通知の実施は顧客が責任を負う</v>
      </c>
      <c r="E16" s="7" t="str">
        <f ca="1">IFERROR(__xludf.DUMMYFUNCTION("AI(""箇条書きで2-3行程度で要約する"",C16)"),"- 利用方法によってはエンドユーザーへの通知と同意取得が必要になる
  - 同意取得が必要な際はプライバシーポリシー等の改訂を伴う可能性がある
  - 利用方法が決定次第、周知期間を考慮して早めに法務へ共有すること")</f>
        <v>- 利用方法によってはエンドユーザーへの通知と同意取得が必要になる
  - 同意取得が必要な際はプライバシーポリシー等の改訂を伴う可能性がある
  - 利用方法が決定次第、周知期間を考慮して早めに法務へ共有すること</v>
      </c>
    </row>
    <row r="17" spans="1:5" ht="15.75" customHeight="1">
      <c r="A17" s="6" t="s">
        <v>285</v>
      </c>
      <c r="B17" s="6" t="s">
        <v>288</v>
      </c>
      <c r="C17" s="6" t="s">
        <v>289</v>
      </c>
      <c r="D17" s="7" t="str">
        <f ca="1">IFERROR(__xludf.DUMMYFUNCTION("AI(""箇条書きで2-3行程度で要約する"",B17)"),"- 開発パートナーモードを有効にすることでプログラムに参加可能
  - 参加によりサービスにおけるデータ提供を許可することになる
  - 参加の有無はユーザーが独自の裁量で選択できる")</f>
        <v>- 開発パートナーモードを有効にすることでプログラムに参加可能
  - 参加によりサービスにおけるデータ提供を許可することになる
  - 参加の有無はユーザーが独自の裁量で選択できる</v>
      </c>
      <c r="E17" s="7" t="str">
        <f ca="1">IFERROR(__xludf.DUMMYFUNCTION("AI(""箇条書きで2-3行程度で要約する"",C17)"),"- 開発パートナーモードを有効にすると、入出力データがAIモデルの学習に利用される
  - サービスの利用に支障がない限り、データ提供の設定は無効にすることが推奨される")</f>
        <v>- 開発パートナーモードを有効にすると、入出力データがAIモデルの学習に利用される
  - サービスの利用に支障がない限り、データ提供の設定は無効にすることが推奨される</v>
      </c>
    </row>
    <row r="20" spans="1:5" ht="15.75" customHeight="1">
      <c r="A20" s="23" t="s">
        <v>290</v>
      </c>
    </row>
    <row r="21" spans="1:5" ht="15.75" customHeight="1">
      <c r="A21" s="1" t="s">
        <v>291</v>
      </c>
    </row>
    <row r="22" spans="1:5" ht="15.75" customHeight="1">
      <c r="A22" s="1" t="s">
        <v>292</v>
      </c>
    </row>
    <row r="23" spans="1:5" ht="15.75" customHeight="1">
      <c r="A23" s="1" t="s">
        <v>293</v>
      </c>
    </row>
    <row r="24" spans="1:5" ht="15.75" customHeight="1">
      <c r="A24" s="1" t="s">
        <v>294</v>
      </c>
    </row>
  </sheetData>
  <phoneticPr fontId="10"/>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リンク</vt:lpstr>
      <vt:lpstr>すばるとの座組</vt:lpstr>
      <vt:lpstr>アウトプットすべきデータ_サマリ</vt:lpstr>
      <vt:lpstr>アウトプットすべきデータ_詳細</vt:lpstr>
      <vt:lpstr>サンプルデータ概要</vt:lpstr>
      <vt:lpstr>【共通】請求先データ</vt:lpstr>
      <vt:lpstr>①契約データ（基本情報単価情報系）</vt:lpstr>
      <vt:lpstr>①勤怠実績データ</vt:lpstr>
      <vt:lpstr>②契約データ（基本情報単価情報系）</vt:lpstr>
      <vt:lpstr>②勤怠実績データ</vt:lpstr>
      <vt:lpstr>メモ</vt:lpstr>
      <vt:lpstr>Claude利用留意点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Atom Yahara</cp:lastModifiedBy>
  <dcterms:modified xsi:type="dcterms:W3CDTF">2026-06-03T10:47:23Z</dcterms:modified>
</cp:coreProperties>
</file>